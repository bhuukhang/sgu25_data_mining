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43" documentId="11_A5DAB9FEDD43F13EE38ECA85DF5A009FCD8DC9C1" xr6:coauthVersionLast="47" xr6:coauthVersionMax="47" xr10:uidLastSave="{761F2437-3701-4C9E-B572-DA25E38A7074}"/>
  <bookViews>
    <workbookView xWindow="-108" yWindow="-108" windowWidth="23256" windowHeight="12456" activeTab="1" xr2:uid="{00000000-000D-0000-FFFF-FFFF00000000}"/>
  </bookViews>
  <sheets>
    <sheet name="LR-log-likelihoods" sheetId="1" r:id="rId1"/>
    <sheet name="LR-log-loss" sheetId="5" r:id="rId2"/>
  </sheets>
  <definedNames>
    <definedName name="Heart_disease_processed_cleveland___Copy" localSheetId="0">'LR-log-likelihoods'!$A$6:$N$221</definedName>
    <definedName name="Heart_disease_processed_cleveland___Copy" localSheetId="1">'LR-log-loss'!$A$6:$N$221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5" i="5" l="1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224" i="5"/>
  <c r="P224" i="5" s="1"/>
  <c r="Q224" i="5" s="1"/>
  <c r="R224" i="5" s="1"/>
  <c r="T1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6" i="5"/>
  <c r="P6" i="5" s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224" i="1"/>
  <c r="P224" i="1" s="1"/>
  <c r="Q224" i="1" s="1"/>
  <c r="R224" i="1" s="1"/>
  <c r="T1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S6" i="1"/>
  <c r="T6" i="1" s="1"/>
  <c r="Q6" i="1"/>
  <c r="R6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6" i="1"/>
  <c r="R3" i="5" l="1"/>
  <c r="R4" i="5" s="1"/>
  <c r="S6" i="5"/>
  <c r="T6" i="5" s="1"/>
  <c r="Q6" i="5"/>
  <c r="R6" i="5" s="1"/>
  <c r="R3" i="1"/>
  <c r="R4" i="1" s="1"/>
  <c r="N4" i="5" l="1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B4" i="1"/>
  <c r="C4" i="1"/>
  <c r="D4" i="1"/>
  <c r="E4" i="1"/>
  <c r="F4" i="1"/>
  <c r="G4" i="1"/>
  <c r="H4" i="1"/>
  <c r="I4" i="1"/>
  <c r="J4" i="1"/>
  <c r="K4" i="1"/>
  <c r="L4" i="1"/>
  <c r="M4" i="1"/>
  <c r="N4" i="1"/>
  <c r="A4" i="1"/>
  <c r="A3" i="1"/>
  <c r="B3" i="1" l="1"/>
  <c r="C3" i="1"/>
  <c r="D3" i="1"/>
  <c r="E3" i="1"/>
  <c r="F3" i="1"/>
  <c r="G3" i="1"/>
  <c r="H3" i="1"/>
  <c r="I3" i="1"/>
  <c r="J3" i="1"/>
  <c r="K3" i="1"/>
  <c r="L3" i="1"/>
  <c r="M3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<sst xmlns="http://schemas.openxmlformats.org/spreadsheetml/2006/main" count="86" uniqueCount="40">
  <si>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</si>
  <si>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</si>
  <si>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</si>
  <si>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</si>
  <si>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</si>
  <si>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</si>
  <si>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</si>
  <si>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</si>
  <si>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</si>
  <si>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</si>
  <si>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</si>
  <si>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</si>
  <si>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</si>
  <si>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</si>
  <si>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</si>
  <si>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</si>
  <si>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</si>
  <si>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</si>
  <si>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</si>
  <si>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</si>
  <si>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</si>
  <si>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</si>
  <si>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</si>
  <si>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</si>
  <si>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</si>
  <si>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</si>
  <si>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</si>
  <si>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</si>
  <si>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</si>
  <si>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</si>
  <si>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Validation/Test Dataset</t>
  </si>
  <si>
    <t>Actual Outcome</t>
  </si>
  <si>
    <t>Predicted Outcome</t>
  </si>
  <si>
    <t>Difference</t>
  </si>
  <si>
    <t>Likelyhood</t>
  </si>
  <si>
    <t>Ln(Likelyhood)</t>
  </si>
  <si>
    <t>Cross-validation Diff=</t>
  </si>
  <si>
    <t>Cross-validation Accuracy=</t>
  </si>
  <si>
    <t>To-maximize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</si>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</sst>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0" fontId="0" fillId="0" borderId="0" xfId="1" applyNumberFormat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342900</xdr:colOff>
      <xdr:row>0</xdr:row>
      <xdr:rowOff>38100</xdr:rowOff>
    </xdr:from>
    <xdr:to>
      <xdr:col>29</xdr:col>
      <xdr:colOff>175260</xdr:colOff>
      <xdr:row>11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156180" y="38100"/>
          <a:ext cx="4526280" cy="1918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  <xdr:twoCellAnchor>
    <xdr:from>
      <xdr:col>21</xdr:col>
      <xdr:colOff>266700</xdr:colOff>
      <xdr:row>11</xdr:row>
      <xdr:rowOff>167640</xdr:rowOff>
    </xdr:from>
    <xdr:to>
      <xdr:col>30</xdr:col>
      <xdr:colOff>573405</xdr:colOff>
      <xdr:row>46</xdr:row>
      <xdr:rowOff>125730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409420" y="2095500"/>
          <a:ext cx="6341745" cy="6092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621030</xdr:colOff>
      <xdr:row>3</xdr:row>
      <xdr:rowOff>150495</xdr:rowOff>
    </xdr:from>
    <xdr:to>
      <xdr:col>27</xdr:col>
      <xdr:colOff>453390</xdr:colOff>
      <xdr:row>14</xdr:row>
      <xdr:rowOff>140970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4093190" y="676275"/>
          <a:ext cx="4526280" cy="1918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"/>
  <sheetViews>
    <sheetView topLeftCell="G1" workbookViewId="0">
      <selection activeCell="S4" sqref="S4"/>
    </sheetView>
  </sheetViews>
  <sheetFormatPr defaultRowHeight="13.8" x14ac:dyDescent="0.25"/>
  <cols>
    <col min="1" max="1" width="7.59765625" customWidth="1"/>
    <col min="2" max="2" width="6.3984375" customWidth="1"/>
    <col min="3" max="3" width="6.8984375" customWidth="1"/>
    <col min="4" max="4" width="7.59765625" bestFit="1" customWidth="1"/>
    <col min="5" max="5" width="6.8984375" customWidth="1"/>
    <col min="6" max="6" width="5.3984375" customWidth="1"/>
    <col min="7" max="7" width="6.69921875" bestFit="1" customWidth="1"/>
    <col min="8" max="8" width="6.8984375" bestFit="1" customWidth="1"/>
    <col min="9" max="9" width="5.69921875" bestFit="1" customWidth="1"/>
    <col min="10" max="10" width="7.3984375" bestFit="1" customWidth="1"/>
    <col min="11" max="11" width="5.296875" bestFit="1" customWidth="1"/>
    <col min="12" max="12" width="5.09765625" customWidth="1"/>
    <col min="13" max="13" width="5.8984375" customWidth="1"/>
    <col min="14" max="14" width="15.296875" bestFit="1" customWidth="1"/>
    <col min="15" max="15" width="10.8984375" customWidth="1"/>
    <col min="17" max="17" width="24.8984375" bestFit="1" customWidth="1"/>
    <col min="19" max="19" width="11.8984375" bestFit="1" customWidth="1"/>
    <col min="20" max="20" width="12.3984375" bestFit="1" customWidth="1"/>
  </cols>
  <sheetData>
    <row r="1" spans="1:20" x14ac:dyDescent="0.25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38</v>
      </c>
      <c r="T1">
        <f>SUM(T6:T219)</f>
        <v>-131.84685812568949</v>
      </c>
    </row>
    <row r="2" spans="1:2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25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36</v>
      </c>
      <c r="R3">
        <f>SUM(R224:R306)</f>
        <v>41</v>
      </c>
    </row>
    <row r="4" spans="1:20" x14ac:dyDescent="0.25">
      <c r="A4">
        <f>INDEX(LINEST($N6:$N219, $A6:$M219), 1, A1)</f>
        <v>-1.0537637945556705E-3</v>
      </c>
      <c r="B4">
        <f t="shared" ref="B4:N4" si="1">INDEX(LINEST($N6:$N219, $A6:$M219), 1, B1)</f>
        <v>0.11219144928248172</v>
      </c>
      <c r="C4">
        <f t="shared" si="1"/>
        <v>0.10326991889521805</v>
      </c>
      <c r="D4">
        <f t="shared" si="1"/>
        <v>2.3955723505184488E-3</v>
      </c>
      <c r="E4">
        <f t="shared" si="1"/>
        <v>1.117783606677391E-4</v>
      </c>
      <c r="F4">
        <f t="shared" si="1"/>
        <v>-6.789020847422915E-2</v>
      </c>
      <c r="G4">
        <f t="shared" si="1"/>
        <v>2.1567322275336007E-2</v>
      </c>
      <c r="H4">
        <f t="shared" si="1"/>
        <v>-2.6475944947249022E-3</v>
      </c>
      <c r="I4">
        <f t="shared" si="1"/>
        <v>0.12454064278091105</v>
      </c>
      <c r="J4">
        <f t="shared" si="1"/>
        <v>3.1788647213536296E-2</v>
      </c>
      <c r="K4">
        <f t="shared" si="1"/>
        <v>8.6936423828833237E-2</v>
      </c>
      <c r="L4">
        <f t="shared" si="1"/>
        <v>0.15681921554991854</v>
      </c>
      <c r="M4">
        <f t="shared" si="1"/>
        <v>5.25396442585086E-2</v>
      </c>
      <c r="N4">
        <f t="shared" si="1"/>
        <v>-0.41230695948282103</v>
      </c>
      <c r="Q4" t="s">
        <v>37</v>
      </c>
      <c r="R4" s="3">
        <f>1-R3/(306-224+1)</f>
        <v>0.50602409638554224</v>
      </c>
    </row>
    <row r="5" spans="1:2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25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 t="shared" ref="O6:O69" si="2">SUMPRODUCT(A$4:M$4, A6:M6)+N$4</f>
        <v>1.1889896581837742</v>
      </c>
      <c r="P6">
        <f t="shared" ref="P6:P69" si="3">1/(1+EXP(0-O6))</f>
        <v>0.7665603167022621</v>
      </c>
      <c r="Q6">
        <f t="shared" ref="Q6:Q69" si="4">IF(P6&lt;=0.5, 0, 1)</f>
        <v>1</v>
      </c>
      <c r="R6">
        <f t="shared" ref="R6:R69" si="5">IF(N6=Q6, 0, 1)</f>
        <v>0</v>
      </c>
      <c r="S6">
        <f t="shared" ref="S6:S69" si="6">IF(N6=1, P6, 1-P6)</f>
        <v>0.7665603167022621</v>
      </c>
      <c r="T6">
        <f t="shared" ref="T6:T69" si="7">IF(S6=0, -100000, LN(S6))</f>
        <v>-0.26584189270002195</v>
      </c>
    </row>
    <row r="7" spans="1:20" x14ac:dyDescent="0.25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si="2"/>
        <v>0.22435768662020439</v>
      </c>
      <c r="P7">
        <f t="shared" si="3"/>
        <v>0.5558553217942177</v>
      </c>
      <c r="Q7">
        <f t="shared" si="4"/>
        <v>1</v>
      </c>
      <c r="R7">
        <f t="shared" si="5"/>
        <v>1</v>
      </c>
      <c r="S7">
        <f t="shared" si="6"/>
        <v>0.4441446782057823</v>
      </c>
      <c r="T7">
        <f t="shared" si="7"/>
        <v>-0.81160491781325983</v>
      </c>
    </row>
    <row r="8" spans="1:20" x14ac:dyDescent="0.25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2"/>
        <v>0.11433478158994714</v>
      </c>
      <c r="P8">
        <f t="shared" si="3"/>
        <v>0.52855259782328967</v>
      </c>
      <c r="Q8">
        <f t="shared" si="4"/>
        <v>1</v>
      </c>
      <c r="R8">
        <f t="shared" si="5"/>
        <v>1</v>
      </c>
      <c r="S8">
        <f t="shared" si="6"/>
        <v>0.47144740217671033</v>
      </c>
      <c r="T8">
        <f t="shared" si="7"/>
        <v>-0.75194773736941578</v>
      </c>
    </row>
    <row r="9" spans="1:20" x14ac:dyDescent="0.25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2"/>
        <v>6.8372374964084659E-3</v>
      </c>
      <c r="P9">
        <f t="shared" si="3"/>
        <v>0.50170930271525982</v>
      </c>
      <c r="Q9">
        <f t="shared" si="4"/>
        <v>1</v>
      </c>
      <c r="R9">
        <f t="shared" si="5"/>
        <v>1</v>
      </c>
      <c r="S9">
        <f t="shared" si="6"/>
        <v>0.49829069728474018</v>
      </c>
      <c r="T9">
        <f t="shared" si="7"/>
        <v>-0.69657164277384032</v>
      </c>
    </row>
    <row r="10" spans="1:20" x14ac:dyDescent="0.25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2"/>
        <v>0.19794474400999285</v>
      </c>
      <c r="P10">
        <f t="shared" si="3"/>
        <v>0.54932523546465983</v>
      </c>
      <c r="Q10">
        <f t="shared" si="4"/>
        <v>1</v>
      </c>
      <c r="R10">
        <f t="shared" si="5"/>
        <v>1</v>
      </c>
      <c r="S10">
        <f t="shared" si="6"/>
        <v>0.45067476453534017</v>
      </c>
      <c r="T10">
        <f t="shared" si="7"/>
        <v>-0.79700934256526523</v>
      </c>
    </row>
    <row r="11" spans="1:20" x14ac:dyDescent="0.25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2"/>
        <v>0.20263166113601305</v>
      </c>
      <c r="P11">
        <f t="shared" si="3"/>
        <v>0.55048529126679402</v>
      </c>
      <c r="Q11">
        <f t="shared" si="4"/>
        <v>1</v>
      </c>
      <c r="R11">
        <f t="shared" si="5"/>
        <v>1</v>
      </c>
      <c r="S11">
        <f t="shared" si="6"/>
        <v>0.44951470873320598</v>
      </c>
      <c r="T11">
        <f t="shared" si="7"/>
        <v>-0.79958670317378033</v>
      </c>
    </row>
    <row r="12" spans="1:20" x14ac:dyDescent="0.25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2"/>
        <v>0.92235458741473075</v>
      </c>
      <c r="P12">
        <f t="shared" si="3"/>
        <v>0.7155216260966738</v>
      </c>
      <c r="Q12">
        <f t="shared" si="4"/>
        <v>1</v>
      </c>
      <c r="R12">
        <f t="shared" si="5"/>
        <v>0</v>
      </c>
      <c r="S12">
        <f t="shared" si="6"/>
        <v>0.7155216260966738</v>
      </c>
      <c r="T12">
        <f t="shared" si="7"/>
        <v>-0.33474345528981825</v>
      </c>
    </row>
    <row r="13" spans="1:20" x14ac:dyDescent="0.25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2"/>
        <v>0.3891230654135458</v>
      </c>
      <c r="P13">
        <f t="shared" si="3"/>
        <v>0.59607157733563076</v>
      </c>
      <c r="Q13">
        <f t="shared" si="4"/>
        <v>1</v>
      </c>
      <c r="R13">
        <f t="shared" si="5"/>
        <v>1</v>
      </c>
      <c r="S13">
        <f t="shared" si="6"/>
        <v>0.40392842266436924</v>
      </c>
      <c r="T13">
        <f t="shared" si="7"/>
        <v>-0.90651758834058138</v>
      </c>
    </row>
    <row r="14" spans="1:20" x14ac:dyDescent="0.25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2"/>
        <v>0.27846322834294801</v>
      </c>
      <c r="P14">
        <f t="shared" si="3"/>
        <v>0.5691694236965027</v>
      </c>
      <c r="Q14">
        <f t="shared" si="4"/>
        <v>1</v>
      </c>
      <c r="R14">
        <f t="shared" si="5"/>
        <v>1</v>
      </c>
      <c r="S14">
        <f t="shared" si="6"/>
        <v>0.4308305763034973</v>
      </c>
      <c r="T14">
        <f t="shared" si="7"/>
        <v>-0.84204036058369569</v>
      </c>
    </row>
    <row r="15" spans="1:20" x14ac:dyDescent="0.25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2"/>
        <v>0.12505092076443014</v>
      </c>
      <c r="P15">
        <f t="shared" si="3"/>
        <v>0.53122205394661215</v>
      </c>
      <c r="Q15">
        <f t="shared" si="4"/>
        <v>1</v>
      </c>
      <c r="R15">
        <f t="shared" si="5"/>
        <v>0</v>
      </c>
      <c r="S15">
        <f t="shared" si="6"/>
        <v>0.53122205394661215</v>
      </c>
      <c r="T15">
        <f t="shared" si="7"/>
        <v>-0.63257516446295592</v>
      </c>
    </row>
    <row r="16" spans="1:20" x14ac:dyDescent="0.25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2"/>
        <v>0.77531735932108292</v>
      </c>
      <c r="P16">
        <f t="shared" si="3"/>
        <v>0.68467002125867271</v>
      </c>
      <c r="Q16">
        <f t="shared" si="4"/>
        <v>1</v>
      </c>
      <c r="R16">
        <f t="shared" si="5"/>
        <v>0</v>
      </c>
      <c r="S16">
        <f t="shared" si="6"/>
        <v>0.68467002125867271</v>
      </c>
      <c r="T16">
        <f t="shared" si="7"/>
        <v>-0.37881827757490583</v>
      </c>
    </row>
    <row r="17" spans="1:20" x14ac:dyDescent="0.25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2"/>
        <v>-1.4095176669969955E-2</v>
      </c>
      <c r="P17">
        <f t="shared" si="3"/>
        <v>0.49647626417187363</v>
      </c>
      <c r="Q17">
        <f t="shared" si="4"/>
        <v>0</v>
      </c>
      <c r="R17">
        <f t="shared" si="5"/>
        <v>0</v>
      </c>
      <c r="S17">
        <f t="shared" si="6"/>
        <v>0.50352373582812637</v>
      </c>
      <c r="T17">
        <f t="shared" si="7"/>
        <v>-0.68612442627005288</v>
      </c>
    </row>
    <row r="18" spans="1:20" x14ac:dyDescent="0.25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2"/>
        <v>0.62092652680021598</v>
      </c>
      <c r="P18">
        <f t="shared" si="3"/>
        <v>0.65042924328940732</v>
      </c>
      <c r="Q18">
        <f t="shared" si="4"/>
        <v>1</v>
      </c>
      <c r="R18">
        <f t="shared" si="5"/>
        <v>0</v>
      </c>
      <c r="S18">
        <f t="shared" si="6"/>
        <v>0.65042924328940732</v>
      </c>
      <c r="T18">
        <f t="shared" si="7"/>
        <v>-0.43012275975221315</v>
      </c>
    </row>
    <row r="19" spans="1:20" x14ac:dyDescent="0.25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2"/>
        <v>1.2855066885762803</v>
      </c>
      <c r="P19">
        <f t="shared" si="3"/>
        <v>0.78338567861506925</v>
      </c>
      <c r="Q19">
        <f t="shared" si="4"/>
        <v>1</v>
      </c>
      <c r="R19">
        <f t="shared" si="5"/>
        <v>0</v>
      </c>
      <c r="S19">
        <f t="shared" si="6"/>
        <v>0.78338567861506925</v>
      </c>
      <c r="T19">
        <f t="shared" si="7"/>
        <v>-0.24413013898073216</v>
      </c>
    </row>
    <row r="20" spans="1:20" x14ac:dyDescent="0.25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2"/>
        <v>0.80833943555445753</v>
      </c>
      <c r="P20">
        <f t="shared" si="3"/>
        <v>0.69175553524578659</v>
      </c>
      <c r="Q20">
        <f t="shared" si="4"/>
        <v>1</v>
      </c>
      <c r="R20">
        <f t="shared" si="5"/>
        <v>0</v>
      </c>
      <c r="S20">
        <f t="shared" si="6"/>
        <v>0.69175553524578659</v>
      </c>
      <c r="T20">
        <f t="shared" si="7"/>
        <v>-0.36852265854619576</v>
      </c>
    </row>
    <row r="21" spans="1:20" x14ac:dyDescent="0.25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2"/>
        <v>1.0281593865597476</v>
      </c>
      <c r="P21">
        <f t="shared" si="3"/>
        <v>0.73655889895090687</v>
      </c>
      <c r="Q21">
        <f t="shared" si="4"/>
        <v>1</v>
      </c>
      <c r="R21">
        <f t="shared" si="5"/>
        <v>0</v>
      </c>
      <c r="S21">
        <f t="shared" si="6"/>
        <v>0.73655889895090687</v>
      </c>
      <c r="T21">
        <f t="shared" si="7"/>
        <v>-0.30576607485689128</v>
      </c>
    </row>
    <row r="22" spans="1:20" x14ac:dyDescent="0.25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2"/>
        <v>0.10853253306259858</v>
      </c>
      <c r="P22">
        <f t="shared" si="3"/>
        <v>0.52710653046748157</v>
      </c>
      <c r="Q22">
        <f t="shared" si="4"/>
        <v>1</v>
      </c>
      <c r="R22">
        <f t="shared" si="5"/>
        <v>1</v>
      </c>
      <c r="S22">
        <f t="shared" si="6"/>
        <v>0.47289346953251843</v>
      </c>
      <c r="T22">
        <f t="shared" si="7"/>
        <v>-0.74888513883235541</v>
      </c>
    </row>
    <row r="23" spans="1:20" x14ac:dyDescent="0.25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2"/>
        <v>0.695404133929024</v>
      </c>
      <c r="P23">
        <f t="shared" si="3"/>
        <v>0.66716802305731038</v>
      </c>
      <c r="Q23">
        <f t="shared" si="4"/>
        <v>1</v>
      </c>
      <c r="R23">
        <f t="shared" si="5"/>
        <v>0</v>
      </c>
      <c r="S23">
        <f t="shared" si="6"/>
        <v>0.66716802305731038</v>
      </c>
      <c r="T23">
        <f t="shared" si="7"/>
        <v>-0.40471335615851539</v>
      </c>
    </row>
    <row r="24" spans="1:20" x14ac:dyDescent="0.25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2"/>
        <v>0.95986594736469422</v>
      </c>
      <c r="P24">
        <f t="shared" si="3"/>
        <v>0.72309496475071711</v>
      </c>
      <c r="Q24">
        <f t="shared" si="4"/>
        <v>1</v>
      </c>
      <c r="R24">
        <f t="shared" si="5"/>
        <v>0</v>
      </c>
      <c r="S24">
        <f t="shared" si="6"/>
        <v>0.72309496475071711</v>
      </c>
      <c r="T24">
        <f t="shared" si="7"/>
        <v>-0.32421471724586409</v>
      </c>
    </row>
    <row r="25" spans="1:20" x14ac:dyDescent="0.25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2"/>
        <v>1.285568513698343E-2</v>
      </c>
      <c r="P25">
        <f t="shared" si="3"/>
        <v>0.50321387702161069</v>
      </c>
      <c r="Q25">
        <f t="shared" si="4"/>
        <v>1</v>
      </c>
      <c r="R25">
        <f t="shared" si="5"/>
        <v>1</v>
      </c>
      <c r="S25">
        <f t="shared" si="6"/>
        <v>0.49678612297838931</v>
      </c>
      <c r="T25">
        <f t="shared" si="7"/>
        <v>-0.69959568156622232</v>
      </c>
    </row>
    <row r="26" spans="1:20" x14ac:dyDescent="0.25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2"/>
        <v>0.70311626921878667</v>
      </c>
      <c r="P26">
        <f t="shared" si="3"/>
        <v>0.66887832667946945</v>
      </c>
      <c r="Q26">
        <f t="shared" si="4"/>
        <v>1</v>
      </c>
      <c r="R26">
        <f t="shared" si="5"/>
        <v>0</v>
      </c>
      <c r="S26">
        <f t="shared" si="6"/>
        <v>0.66887832667946945</v>
      </c>
      <c r="T26">
        <f t="shared" si="7"/>
        <v>-0.40215310881869781</v>
      </c>
    </row>
    <row r="27" spans="1:20" x14ac:dyDescent="0.25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2"/>
        <v>0.93200174625376375</v>
      </c>
      <c r="P27">
        <f t="shared" si="3"/>
        <v>0.71748121988478664</v>
      </c>
      <c r="Q27">
        <f t="shared" si="4"/>
        <v>1</v>
      </c>
      <c r="R27">
        <f t="shared" si="5"/>
        <v>0</v>
      </c>
      <c r="S27">
        <f t="shared" si="6"/>
        <v>0.71748121988478664</v>
      </c>
      <c r="T27">
        <f t="shared" si="7"/>
        <v>-0.33200850606751986</v>
      </c>
    </row>
    <row r="28" spans="1:20" x14ac:dyDescent="0.25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2"/>
        <v>0.58815788060225738</v>
      </c>
      <c r="P28">
        <f t="shared" si="3"/>
        <v>0.64294236643110825</v>
      </c>
      <c r="Q28">
        <f t="shared" si="4"/>
        <v>1</v>
      </c>
      <c r="R28">
        <f t="shared" si="5"/>
        <v>0</v>
      </c>
      <c r="S28">
        <f t="shared" si="6"/>
        <v>0.64294236643110825</v>
      </c>
      <c r="T28">
        <f t="shared" si="7"/>
        <v>-0.44170019106171948</v>
      </c>
    </row>
    <row r="29" spans="1:20" x14ac:dyDescent="0.25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2"/>
        <v>8.102940758501892E-2</v>
      </c>
      <c r="P29">
        <f t="shared" si="3"/>
        <v>0.52024627541792667</v>
      </c>
      <c r="Q29">
        <f t="shared" si="4"/>
        <v>1</v>
      </c>
      <c r="R29">
        <f t="shared" si="5"/>
        <v>1</v>
      </c>
      <c r="S29">
        <f t="shared" si="6"/>
        <v>0.47975372458207333</v>
      </c>
      <c r="T29">
        <f t="shared" si="7"/>
        <v>-0.73448238053494197</v>
      </c>
    </row>
    <row r="30" spans="1:20" x14ac:dyDescent="0.25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2"/>
        <v>0.65279084004846855</v>
      </c>
      <c r="P30">
        <f t="shared" si="3"/>
        <v>0.65763909623061989</v>
      </c>
      <c r="Q30">
        <f t="shared" si="4"/>
        <v>1</v>
      </c>
      <c r="R30">
        <f t="shared" si="5"/>
        <v>0</v>
      </c>
      <c r="S30">
        <f t="shared" si="6"/>
        <v>0.65763909623061989</v>
      </c>
      <c r="T30">
        <f t="shared" si="7"/>
        <v>-0.41909898410197693</v>
      </c>
    </row>
    <row r="31" spans="1:20" x14ac:dyDescent="0.25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2"/>
        <v>0.87342143852704934</v>
      </c>
      <c r="P31">
        <f t="shared" si="3"/>
        <v>0.70545712911757308</v>
      </c>
      <c r="Q31">
        <f t="shared" si="4"/>
        <v>1</v>
      </c>
      <c r="R31">
        <f t="shared" si="5"/>
        <v>0</v>
      </c>
      <c r="S31">
        <f t="shared" si="6"/>
        <v>0.70545712911757308</v>
      </c>
      <c r="T31">
        <f t="shared" si="7"/>
        <v>-0.34890927620101886</v>
      </c>
    </row>
    <row r="32" spans="1:20" x14ac:dyDescent="0.25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2"/>
        <v>0.14414834020497991</v>
      </c>
      <c r="P32">
        <f t="shared" si="3"/>
        <v>0.53597481399246683</v>
      </c>
      <c r="Q32">
        <f t="shared" si="4"/>
        <v>1</v>
      </c>
      <c r="R32">
        <f t="shared" si="5"/>
        <v>0</v>
      </c>
      <c r="S32">
        <f t="shared" si="6"/>
        <v>0.53597481399246683</v>
      </c>
      <c r="T32">
        <f t="shared" si="7"/>
        <v>-0.62366810783536886</v>
      </c>
    </row>
    <row r="33" spans="1:20" x14ac:dyDescent="0.25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2"/>
        <v>1.4764626251387414E-2</v>
      </c>
      <c r="P33">
        <f t="shared" si="3"/>
        <v>0.50369108951008534</v>
      </c>
      <c r="Q33">
        <f t="shared" si="4"/>
        <v>1</v>
      </c>
      <c r="R33">
        <f t="shared" si="5"/>
        <v>1</v>
      </c>
      <c r="S33">
        <f t="shared" si="6"/>
        <v>0.49630891048991466</v>
      </c>
      <c r="T33">
        <f t="shared" si="7"/>
        <v>-0.70055674271167789</v>
      </c>
    </row>
    <row r="34" spans="1:20" x14ac:dyDescent="0.25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2"/>
        <v>-3.7031718087799703E-2</v>
      </c>
      <c r="P34">
        <f t="shared" si="3"/>
        <v>0.49074312832002265</v>
      </c>
      <c r="Q34">
        <f t="shared" si="4"/>
        <v>0</v>
      </c>
      <c r="R34">
        <f t="shared" si="5"/>
        <v>0</v>
      </c>
      <c r="S34">
        <f t="shared" si="6"/>
        <v>0.50925687167997735</v>
      </c>
      <c r="T34">
        <f t="shared" si="7"/>
        <v>-0.67480273024023807</v>
      </c>
    </row>
    <row r="35" spans="1:20" x14ac:dyDescent="0.25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2"/>
        <v>0.34355456098216686</v>
      </c>
      <c r="P35">
        <f t="shared" si="3"/>
        <v>0.58505370906952725</v>
      </c>
      <c r="Q35">
        <f t="shared" si="4"/>
        <v>1</v>
      </c>
      <c r="R35">
        <f t="shared" si="5"/>
        <v>1</v>
      </c>
      <c r="S35">
        <f t="shared" si="6"/>
        <v>0.41494629093047275</v>
      </c>
      <c r="T35">
        <f t="shared" si="7"/>
        <v>-0.87960618657150169</v>
      </c>
    </row>
    <row r="36" spans="1:20" x14ac:dyDescent="0.25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2"/>
        <v>8.0490544526084451E-2</v>
      </c>
      <c r="P36">
        <f t="shared" si="3"/>
        <v>0.520111779075352</v>
      </c>
      <c r="Q36">
        <f t="shared" si="4"/>
        <v>1</v>
      </c>
      <c r="R36">
        <f t="shared" si="5"/>
        <v>1</v>
      </c>
      <c r="S36">
        <f t="shared" si="6"/>
        <v>0.479888220924648</v>
      </c>
      <c r="T36">
        <f t="shared" si="7"/>
        <v>-0.73420207527299497</v>
      </c>
    </row>
    <row r="37" spans="1:20" x14ac:dyDescent="0.25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2"/>
        <v>0.91083672033455021</v>
      </c>
      <c r="P37">
        <f t="shared" si="3"/>
        <v>0.71317135109360719</v>
      </c>
      <c r="Q37">
        <f t="shared" si="4"/>
        <v>1</v>
      </c>
      <c r="R37">
        <f t="shared" si="5"/>
        <v>0</v>
      </c>
      <c r="S37">
        <f t="shared" si="6"/>
        <v>0.71317135109360719</v>
      </c>
      <c r="T37">
        <f t="shared" si="7"/>
        <v>-0.33803356332659917</v>
      </c>
    </row>
    <row r="38" spans="1:20" x14ac:dyDescent="0.25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2"/>
        <v>0.22631281883916643</v>
      </c>
      <c r="P38">
        <f t="shared" si="3"/>
        <v>0.55633795233509209</v>
      </c>
      <c r="Q38">
        <f t="shared" si="4"/>
        <v>1</v>
      </c>
      <c r="R38">
        <f t="shared" si="5"/>
        <v>1</v>
      </c>
      <c r="S38">
        <f t="shared" si="6"/>
        <v>0.44366204766490791</v>
      </c>
      <c r="T38">
        <f t="shared" si="7"/>
        <v>-0.81269216028248992</v>
      </c>
    </row>
    <row r="39" spans="1:20" x14ac:dyDescent="0.25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2"/>
        <v>0.13922591274185159</v>
      </c>
      <c r="P39">
        <f t="shared" si="3"/>
        <v>0.53475036331200021</v>
      </c>
      <c r="Q39">
        <f t="shared" si="4"/>
        <v>1</v>
      </c>
      <c r="R39">
        <f t="shared" si="5"/>
        <v>1</v>
      </c>
      <c r="S39">
        <f t="shared" si="6"/>
        <v>0.46524963668799979</v>
      </c>
      <c r="T39">
        <f t="shared" si="7"/>
        <v>-0.76518116435637462</v>
      </c>
    </row>
    <row r="40" spans="1:20" x14ac:dyDescent="0.25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2"/>
        <v>0.35059701907588581</v>
      </c>
      <c r="P40">
        <f t="shared" si="3"/>
        <v>0.58676234699741392</v>
      </c>
      <c r="Q40">
        <f t="shared" si="4"/>
        <v>1</v>
      </c>
      <c r="R40">
        <f t="shared" si="5"/>
        <v>0</v>
      </c>
      <c r="S40">
        <f t="shared" si="6"/>
        <v>0.58676234699741392</v>
      </c>
      <c r="T40">
        <f t="shared" si="7"/>
        <v>-0.53313540144315308</v>
      </c>
    </row>
    <row r="41" spans="1:20" x14ac:dyDescent="0.25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2"/>
        <v>-0.12931580382280217</v>
      </c>
      <c r="P41">
        <f t="shared" si="3"/>
        <v>0.46771602578106092</v>
      </c>
      <c r="Q41">
        <f t="shared" si="4"/>
        <v>0</v>
      </c>
      <c r="R41">
        <f t="shared" si="5"/>
        <v>0</v>
      </c>
      <c r="S41">
        <f t="shared" si="6"/>
        <v>0.53228397421893914</v>
      </c>
      <c r="T41">
        <f t="shared" si="7"/>
        <v>-0.63057814592780481</v>
      </c>
    </row>
    <row r="42" spans="1:20" x14ac:dyDescent="0.25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2"/>
        <v>3.3374566382134929E-2</v>
      </c>
      <c r="P42">
        <f t="shared" si="3"/>
        <v>0.50834286720990152</v>
      </c>
      <c r="Q42">
        <f t="shared" si="4"/>
        <v>1</v>
      </c>
      <c r="R42">
        <f t="shared" si="5"/>
        <v>1</v>
      </c>
      <c r="S42">
        <f t="shared" si="6"/>
        <v>0.49165713279009848</v>
      </c>
      <c r="T42">
        <f t="shared" si="7"/>
        <v>-0.7099736899997261</v>
      </c>
    </row>
    <row r="43" spans="1:20" x14ac:dyDescent="0.25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2"/>
        <v>0.18643034572398287</v>
      </c>
      <c r="P43">
        <f t="shared" si="3"/>
        <v>0.54647306179952748</v>
      </c>
      <c r="Q43">
        <f t="shared" si="4"/>
        <v>1</v>
      </c>
      <c r="R43">
        <f t="shared" si="5"/>
        <v>1</v>
      </c>
      <c r="S43">
        <f t="shared" si="6"/>
        <v>0.45352693820047252</v>
      </c>
      <c r="T43">
        <f t="shared" si="7"/>
        <v>-0.7907006105285318</v>
      </c>
    </row>
    <row r="44" spans="1:20" x14ac:dyDescent="0.25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2"/>
        <v>0.91917810083516405</v>
      </c>
      <c r="P44">
        <f t="shared" si="3"/>
        <v>0.71487460848646878</v>
      </c>
      <c r="Q44">
        <f t="shared" si="4"/>
        <v>1</v>
      </c>
      <c r="R44">
        <f t="shared" si="5"/>
        <v>0</v>
      </c>
      <c r="S44">
        <f t="shared" si="6"/>
        <v>0.71487460848646878</v>
      </c>
      <c r="T44">
        <f t="shared" si="7"/>
        <v>-0.33564812441392511</v>
      </c>
    </row>
    <row r="45" spans="1:20" x14ac:dyDescent="0.25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2"/>
        <v>0.60010663514398499</v>
      </c>
      <c r="P45">
        <f t="shared" si="3"/>
        <v>0.64568070228727337</v>
      </c>
      <c r="Q45">
        <f t="shared" si="4"/>
        <v>1</v>
      </c>
      <c r="R45">
        <f t="shared" si="5"/>
        <v>0</v>
      </c>
      <c r="S45">
        <f t="shared" si="6"/>
        <v>0.64568070228727337</v>
      </c>
      <c r="T45">
        <f t="shared" si="7"/>
        <v>-0.43745016629582528</v>
      </c>
    </row>
    <row r="46" spans="1:20" x14ac:dyDescent="0.25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2"/>
        <v>9.2066765845068232E-2</v>
      </c>
      <c r="P46">
        <f t="shared" si="3"/>
        <v>0.52300044721878158</v>
      </c>
      <c r="Q46">
        <f t="shared" si="4"/>
        <v>1</v>
      </c>
      <c r="R46">
        <f t="shared" si="5"/>
        <v>1</v>
      </c>
      <c r="S46">
        <f t="shared" si="6"/>
        <v>0.47699955278121842</v>
      </c>
      <c r="T46">
        <f t="shared" si="7"/>
        <v>-0.74023972565981522</v>
      </c>
    </row>
    <row r="47" spans="1:20" x14ac:dyDescent="0.25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2"/>
        <v>0.31164258043431281</v>
      </c>
      <c r="P47">
        <f t="shared" si="3"/>
        <v>0.57728614566571645</v>
      </c>
      <c r="Q47">
        <f t="shared" si="4"/>
        <v>1</v>
      </c>
      <c r="R47">
        <f t="shared" si="5"/>
        <v>1</v>
      </c>
      <c r="S47">
        <f t="shared" si="6"/>
        <v>0.42271385433428355</v>
      </c>
      <c r="T47">
        <f t="shared" si="7"/>
        <v>-0.86105979613793548</v>
      </c>
    </row>
    <row r="48" spans="1:20" x14ac:dyDescent="0.25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2"/>
        <v>0.52671200132303775</v>
      </c>
      <c r="P48">
        <f t="shared" si="3"/>
        <v>0.6287159125406605</v>
      </c>
      <c r="Q48">
        <f t="shared" si="4"/>
        <v>1</v>
      </c>
      <c r="R48">
        <f t="shared" si="5"/>
        <v>1</v>
      </c>
      <c r="S48">
        <f t="shared" si="6"/>
        <v>0.3712840874593395</v>
      </c>
      <c r="T48">
        <f t="shared" si="7"/>
        <v>-0.9907877750079539</v>
      </c>
    </row>
    <row r="49" spans="1:20" x14ac:dyDescent="0.25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2"/>
        <v>0.96795744527711403</v>
      </c>
      <c r="P49">
        <f t="shared" si="3"/>
        <v>0.72471218615949007</v>
      </c>
      <c r="Q49">
        <f t="shared" si="4"/>
        <v>1</v>
      </c>
      <c r="R49">
        <f t="shared" si="5"/>
        <v>0</v>
      </c>
      <c r="S49">
        <f t="shared" si="6"/>
        <v>0.72471218615949007</v>
      </c>
      <c r="T49">
        <f t="shared" si="7"/>
        <v>-0.32198068755431225</v>
      </c>
    </row>
    <row r="50" spans="1:20" x14ac:dyDescent="0.25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2"/>
        <v>0.7510540996091235</v>
      </c>
      <c r="P50">
        <f t="shared" si="3"/>
        <v>0.67940833880934193</v>
      </c>
      <c r="Q50">
        <f t="shared" si="4"/>
        <v>1</v>
      </c>
      <c r="R50">
        <f t="shared" si="5"/>
        <v>1</v>
      </c>
      <c r="S50">
        <f t="shared" si="6"/>
        <v>0.32059166119065807</v>
      </c>
      <c r="T50">
        <f t="shared" si="7"/>
        <v>-1.1375870491553746</v>
      </c>
    </row>
    <row r="51" spans="1:20" x14ac:dyDescent="0.25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2"/>
        <v>0.61890692299714112</v>
      </c>
      <c r="P51">
        <f t="shared" si="3"/>
        <v>0.64996990447229774</v>
      </c>
      <c r="Q51">
        <f t="shared" si="4"/>
        <v>1</v>
      </c>
      <c r="R51">
        <f t="shared" si="5"/>
        <v>1</v>
      </c>
      <c r="S51">
        <f t="shared" si="6"/>
        <v>0.35003009552770226</v>
      </c>
      <c r="T51">
        <f t="shared" si="7"/>
        <v>-1.0497361409733605</v>
      </c>
    </row>
    <row r="52" spans="1:20" x14ac:dyDescent="0.25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2"/>
        <v>1.0330275242080533</v>
      </c>
      <c r="P52">
        <f t="shared" si="3"/>
        <v>0.73750242340434391</v>
      </c>
      <c r="Q52">
        <f t="shared" si="4"/>
        <v>1</v>
      </c>
      <c r="R52">
        <f t="shared" si="5"/>
        <v>0</v>
      </c>
      <c r="S52">
        <f t="shared" si="6"/>
        <v>0.73750242340434391</v>
      </c>
      <c r="T52">
        <f t="shared" si="7"/>
        <v>-0.30448590480156923</v>
      </c>
    </row>
    <row r="53" spans="1:20" x14ac:dyDescent="0.25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2"/>
        <v>0.36222927075445943</v>
      </c>
      <c r="P53">
        <f t="shared" si="3"/>
        <v>0.58957997032652176</v>
      </c>
      <c r="Q53">
        <f t="shared" si="4"/>
        <v>1</v>
      </c>
      <c r="R53">
        <f t="shared" si="5"/>
        <v>1</v>
      </c>
      <c r="S53">
        <f t="shared" si="6"/>
        <v>0.41042002967347824</v>
      </c>
      <c r="T53">
        <f t="shared" si="7"/>
        <v>-0.89057418106924791</v>
      </c>
    </row>
    <row r="54" spans="1:20" x14ac:dyDescent="0.25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2"/>
        <v>2.3355864873880139E-2</v>
      </c>
      <c r="P54">
        <f t="shared" si="3"/>
        <v>0.50583870080501547</v>
      </c>
      <c r="Q54">
        <f t="shared" si="4"/>
        <v>1</v>
      </c>
      <c r="R54">
        <f t="shared" si="5"/>
        <v>1</v>
      </c>
      <c r="S54">
        <f t="shared" si="6"/>
        <v>0.49416129919498453</v>
      </c>
      <c r="T54">
        <f t="shared" si="7"/>
        <v>-0.70489329850011773</v>
      </c>
    </row>
    <row r="55" spans="1:20" x14ac:dyDescent="0.25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2"/>
        <v>-0.19073327034961393</v>
      </c>
      <c r="P55">
        <f t="shared" si="3"/>
        <v>0.45246071512386898</v>
      </c>
      <c r="Q55">
        <f t="shared" si="4"/>
        <v>0</v>
      </c>
      <c r="R55">
        <f t="shared" si="5"/>
        <v>0</v>
      </c>
      <c r="S55">
        <f t="shared" si="6"/>
        <v>0.54753928487613102</v>
      </c>
      <c r="T55">
        <f t="shared" si="7"/>
        <v>-0.60232106666720597</v>
      </c>
    </row>
    <row r="56" spans="1:20" x14ac:dyDescent="0.25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2"/>
        <v>0.223672364450753</v>
      </c>
      <c r="P56">
        <f t="shared" si="3"/>
        <v>0.55568612286146579</v>
      </c>
      <c r="Q56">
        <f t="shared" si="4"/>
        <v>1</v>
      </c>
      <c r="R56">
        <f t="shared" si="5"/>
        <v>1</v>
      </c>
      <c r="S56">
        <f t="shared" si="6"/>
        <v>0.44431387713853421</v>
      </c>
      <c r="T56">
        <f t="shared" si="7"/>
        <v>-0.81122403581537794</v>
      </c>
    </row>
    <row r="57" spans="1:20" x14ac:dyDescent="0.25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2"/>
        <v>0.71264629921351497</v>
      </c>
      <c r="P57">
        <f t="shared" si="3"/>
        <v>0.67098563130064082</v>
      </c>
      <c r="Q57">
        <f t="shared" si="4"/>
        <v>1</v>
      </c>
      <c r="R57">
        <f t="shared" si="5"/>
        <v>0</v>
      </c>
      <c r="S57">
        <f t="shared" si="6"/>
        <v>0.67098563130064082</v>
      </c>
      <c r="T57">
        <f t="shared" si="7"/>
        <v>-0.39900755609869076</v>
      </c>
    </row>
    <row r="58" spans="1:20" x14ac:dyDescent="0.25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2"/>
        <v>0.55816312156301273</v>
      </c>
      <c r="P58">
        <f t="shared" si="3"/>
        <v>0.63602741561862242</v>
      </c>
      <c r="Q58">
        <f t="shared" si="4"/>
        <v>1</v>
      </c>
      <c r="R58">
        <f t="shared" si="5"/>
        <v>0</v>
      </c>
      <c r="S58">
        <f t="shared" si="6"/>
        <v>0.63602741561862242</v>
      </c>
      <c r="T58">
        <f t="shared" si="7"/>
        <v>-0.45251361025247688</v>
      </c>
    </row>
    <row r="59" spans="1:20" x14ac:dyDescent="0.25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2"/>
        <v>0.68648284456180986</v>
      </c>
      <c r="P59">
        <f t="shared" si="3"/>
        <v>0.66518406183602097</v>
      </c>
      <c r="Q59">
        <f t="shared" si="4"/>
        <v>1</v>
      </c>
      <c r="R59">
        <f t="shared" si="5"/>
        <v>0</v>
      </c>
      <c r="S59">
        <f t="shared" si="6"/>
        <v>0.66518406183602097</v>
      </c>
      <c r="T59">
        <f t="shared" si="7"/>
        <v>-0.40769149190828469</v>
      </c>
    </row>
    <row r="60" spans="1:20" x14ac:dyDescent="0.25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2"/>
        <v>0.70737399289303515</v>
      </c>
      <c r="P60">
        <f t="shared" si="3"/>
        <v>0.66982064880224557</v>
      </c>
      <c r="Q60">
        <f t="shared" si="4"/>
        <v>1</v>
      </c>
      <c r="R60">
        <f t="shared" si="5"/>
        <v>0</v>
      </c>
      <c r="S60">
        <f t="shared" si="6"/>
        <v>0.66982064880224557</v>
      </c>
      <c r="T60">
        <f t="shared" si="7"/>
        <v>-0.40074529078690552</v>
      </c>
    </row>
    <row r="61" spans="1:20" x14ac:dyDescent="0.25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2"/>
        <v>0.28884007365918585</v>
      </c>
      <c r="P61">
        <f t="shared" si="3"/>
        <v>0.57171214007410676</v>
      </c>
      <c r="Q61">
        <f t="shared" si="4"/>
        <v>1</v>
      </c>
      <c r="R61">
        <f t="shared" si="5"/>
        <v>1</v>
      </c>
      <c r="S61">
        <f t="shared" si="6"/>
        <v>0.42828785992589324</v>
      </c>
      <c r="T61">
        <f t="shared" si="7"/>
        <v>-0.84795973955381654</v>
      </c>
    </row>
    <row r="62" spans="1:20" x14ac:dyDescent="0.25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2"/>
        <v>0.73665714117798808</v>
      </c>
      <c r="P62">
        <f t="shared" si="3"/>
        <v>0.67626443297183692</v>
      </c>
      <c r="Q62">
        <f t="shared" si="4"/>
        <v>1</v>
      </c>
      <c r="R62">
        <f t="shared" si="5"/>
        <v>0</v>
      </c>
      <c r="S62">
        <f t="shared" si="6"/>
        <v>0.67626443297183692</v>
      </c>
      <c r="T62">
        <f t="shared" si="7"/>
        <v>-0.39117110639213692</v>
      </c>
    </row>
    <row r="63" spans="1:20" x14ac:dyDescent="0.25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2"/>
        <v>0.66661745861670041</v>
      </c>
      <c r="P63">
        <f t="shared" si="3"/>
        <v>0.66074533833052052</v>
      </c>
      <c r="Q63">
        <f t="shared" si="4"/>
        <v>1</v>
      </c>
      <c r="R63">
        <f t="shared" si="5"/>
        <v>1</v>
      </c>
      <c r="S63">
        <f t="shared" si="6"/>
        <v>0.33925466166947948</v>
      </c>
      <c r="T63">
        <f t="shared" si="7"/>
        <v>-1.0810042392577215</v>
      </c>
    </row>
    <row r="64" spans="1:20" x14ac:dyDescent="0.25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2"/>
        <v>0.8373048675978394</v>
      </c>
      <c r="P64">
        <f t="shared" si="3"/>
        <v>0.69789728653216387</v>
      </c>
      <c r="Q64">
        <f t="shared" si="4"/>
        <v>1</v>
      </c>
      <c r="R64">
        <f t="shared" si="5"/>
        <v>0</v>
      </c>
      <c r="S64">
        <f t="shared" si="6"/>
        <v>0.69789728653216387</v>
      </c>
      <c r="T64">
        <f t="shared" si="7"/>
        <v>-0.35968334101335292</v>
      </c>
    </row>
    <row r="65" spans="1:20" x14ac:dyDescent="0.25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2"/>
        <v>0.56692906325847225</v>
      </c>
      <c r="P65">
        <f t="shared" si="3"/>
        <v>0.63805427099198109</v>
      </c>
      <c r="Q65">
        <f t="shared" si="4"/>
        <v>1</v>
      </c>
      <c r="R65">
        <f t="shared" si="5"/>
        <v>0</v>
      </c>
      <c r="S65">
        <f t="shared" si="6"/>
        <v>0.63805427099198109</v>
      </c>
      <c r="T65">
        <f t="shared" si="7"/>
        <v>-0.44933193500435131</v>
      </c>
    </row>
    <row r="66" spans="1:20" x14ac:dyDescent="0.25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2"/>
        <v>0.14439685999719187</v>
      </c>
      <c r="P66">
        <f t="shared" si="3"/>
        <v>0.53603662175646782</v>
      </c>
      <c r="Q66">
        <f t="shared" si="4"/>
        <v>1</v>
      </c>
      <c r="R66">
        <f t="shared" si="5"/>
        <v>1</v>
      </c>
      <c r="S66">
        <f t="shared" si="6"/>
        <v>0.46396337824353218</v>
      </c>
      <c r="T66">
        <f t="shared" si="7"/>
        <v>-0.76794965607000221</v>
      </c>
    </row>
    <row r="67" spans="1:20" x14ac:dyDescent="0.25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2"/>
        <v>1.1977655563884644</v>
      </c>
      <c r="P67">
        <f t="shared" si="3"/>
        <v>0.76812704992653791</v>
      </c>
      <c r="Q67">
        <f t="shared" si="4"/>
        <v>1</v>
      </c>
      <c r="R67">
        <f t="shared" si="5"/>
        <v>0</v>
      </c>
      <c r="S67">
        <f t="shared" si="6"/>
        <v>0.76812704992653791</v>
      </c>
      <c r="T67">
        <f t="shared" si="7"/>
        <v>-0.26380012992458468</v>
      </c>
    </row>
    <row r="68" spans="1:20" x14ac:dyDescent="0.25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2"/>
        <v>0.64992150064156795</v>
      </c>
      <c r="P68">
        <f t="shared" si="3"/>
        <v>0.65699277280445512</v>
      </c>
      <c r="Q68">
        <f t="shared" si="4"/>
        <v>1</v>
      </c>
      <c r="R68">
        <f t="shared" si="5"/>
        <v>0</v>
      </c>
      <c r="S68">
        <f t="shared" si="6"/>
        <v>0.65699277280445512</v>
      </c>
      <c r="T68">
        <f t="shared" si="7"/>
        <v>-0.42008226085566325</v>
      </c>
    </row>
    <row r="69" spans="1:20" x14ac:dyDescent="0.25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2"/>
        <v>0.93001302629692417</v>
      </c>
      <c r="P69">
        <f t="shared" si="3"/>
        <v>0.71707792823874106</v>
      </c>
      <c r="Q69">
        <f t="shared" si="4"/>
        <v>1</v>
      </c>
      <c r="R69">
        <f t="shared" si="5"/>
        <v>0</v>
      </c>
      <c r="S69">
        <f t="shared" si="6"/>
        <v>0.71707792823874106</v>
      </c>
      <c r="T69">
        <f t="shared" si="7"/>
        <v>-0.33257075776302836</v>
      </c>
    </row>
    <row r="70" spans="1:20" x14ac:dyDescent="0.25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ref="O70:O133" si="8">SUMPRODUCT(A$4:M$4, A70:M70)+N$4</f>
        <v>0.14273663915457657</v>
      </c>
      <c r="P70">
        <f t="shared" ref="P70:P133" si="9">1/(1+EXP(0-O70))</f>
        <v>0.53562369796199882</v>
      </c>
      <c r="Q70">
        <f t="shared" ref="Q70:Q133" si="10">IF(P70&lt;=0.5, 0, 1)</f>
        <v>1</v>
      </c>
      <c r="R70">
        <f t="shared" ref="R70:R133" si="11">IF(N70=Q70, 0, 1)</f>
        <v>0</v>
      </c>
      <c r="S70">
        <f t="shared" ref="S70:S133" si="12">IF(N70=1, P70, 1-P70)</f>
        <v>0.53562369796199882</v>
      </c>
      <c r="T70">
        <f t="shared" ref="T70:T133" si="13">IF(S70=0, -100000, LN(S70))</f>
        <v>-0.62432342050912892</v>
      </c>
    </row>
    <row r="71" spans="1:20" x14ac:dyDescent="0.25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si="8"/>
        <v>-4.0023615411064861E-2</v>
      </c>
      <c r="P71">
        <f t="shared" si="9"/>
        <v>0.4899954316295736</v>
      </c>
      <c r="Q71">
        <f t="shared" si="10"/>
        <v>0</v>
      </c>
      <c r="R71">
        <f t="shared" si="11"/>
        <v>0</v>
      </c>
      <c r="S71">
        <f t="shared" si="12"/>
        <v>0.5100045683704264</v>
      </c>
      <c r="T71">
        <f t="shared" si="13"/>
        <v>-0.67333559571481316</v>
      </c>
    </row>
    <row r="72" spans="1:20" x14ac:dyDescent="0.25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8"/>
        <v>0.76680138129241748</v>
      </c>
      <c r="P72">
        <f t="shared" si="9"/>
        <v>0.68282856245917234</v>
      </c>
      <c r="Q72">
        <f t="shared" si="10"/>
        <v>1</v>
      </c>
      <c r="R72">
        <f t="shared" si="11"/>
        <v>0</v>
      </c>
      <c r="S72">
        <f t="shared" si="12"/>
        <v>0.68282856245917234</v>
      </c>
      <c r="T72">
        <f t="shared" si="13"/>
        <v>-0.381511457567145</v>
      </c>
    </row>
    <row r="73" spans="1:20" x14ac:dyDescent="0.25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8"/>
        <v>0.16248007742947324</v>
      </c>
      <c r="P73">
        <f t="shared" si="9"/>
        <v>0.5405308913630188</v>
      </c>
      <c r="Q73">
        <f t="shared" si="10"/>
        <v>1</v>
      </c>
      <c r="R73">
        <f t="shared" si="11"/>
        <v>1</v>
      </c>
      <c r="S73">
        <f t="shared" si="12"/>
        <v>0.4594691086369812</v>
      </c>
      <c r="T73">
        <f t="shared" si="13"/>
        <v>-0.77768356765745272</v>
      </c>
    </row>
    <row r="74" spans="1:20" x14ac:dyDescent="0.25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8"/>
        <v>0.27724269185131734</v>
      </c>
      <c r="P74">
        <f t="shared" si="9"/>
        <v>0.5688701038870243</v>
      </c>
      <c r="Q74">
        <f t="shared" si="10"/>
        <v>1</v>
      </c>
      <c r="R74">
        <f t="shared" si="11"/>
        <v>1</v>
      </c>
      <c r="S74">
        <f t="shared" si="12"/>
        <v>0.4311298961129757</v>
      </c>
      <c r="T74">
        <f t="shared" si="13"/>
        <v>-0.84134585119239957</v>
      </c>
    </row>
    <row r="75" spans="1:20" x14ac:dyDescent="0.25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8"/>
        <v>7.1983041095492417E-2</v>
      </c>
      <c r="P75">
        <f t="shared" si="9"/>
        <v>0.5179879937914873</v>
      </c>
      <c r="Q75">
        <f t="shared" si="10"/>
        <v>1</v>
      </c>
      <c r="R75">
        <f t="shared" si="11"/>
        <v>1</v>
      </c>
      <c r="S75">
        <f t="shared" si="12"/>
        <v>0.4820120062085127</v>
      </c>
      <c r="T75">
        <f t="shared" si="13"/>
        <v>-0.72978625609547243</v>
      </c>
    </row>
    <row r="76" spans="1:20" x14ac:dyDescent="0.25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8"/>
        <v>-0.15650808027619034</v>
      </c>
      <c r="P76">
        <f t="shared" si="9"/>
        <v>0.46095265209119629</v>
      </c>
      <c r="Q76">
        <f t="shared" si="10"/>
        <v>0</v>
      </c>
      <c r="R76">
        <f t="shared" si="11"/>
        <v>0</v>
      </c>
      <c r="S76">
        <f t="shared" si="12"/>
        <v>0.53904734790880371</v>
      </c>
      <c r="T76">
        <f t="shared" si="13"/>
        <v>-0.61795186794454815</v>
      </c>
    </row>
    <row r="77" spans="1:20" x14ac:dyDescent="0.25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8"/>
        <v>0.172750634809965</v>
      </c>
      <c r="P77">
        <f t="shared" si="9"/>
        <v>0.54308057493586614</v>
      </c>
      <c r="Q77">
        <f t="shared" si="10"/>
        <v>1</v>
      </c>
      <c r="R77">
        <f t="shared" si="11"/>
        <v>0</v>
      </c>
      <c r="S77">
        <f t="shared" si="12"/>
        <v>0.54308057493586614</v>
      </c>
      <c r="T77">
        <f t="shared" si="13"/>
        <v>-0.61049758159283884</v>
      </c>
    </row>
    <row r="78" spans="1:20" x14ac:dyDescent="0.25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8"/>
        <v>0.74500668224390543</v>
      </c>
      <c r="P78">
        <f t="shared" si="9"/>
        <v>0.67808970818066505</v>
      </c>
      <c r="Q78">
        <f t="shared" si="10"/>
        <v>1</v>
      </c>
      <c r="R78">
        <f t="shared" si="11"/>
        <v>0</v>
      </c>
      <c r="S78">
        <f t="shared" si="12"/>
        <v>0.67808970818066505</v>
      </c>
      <c r="T78">
        <f t="shared" si="13"/>
        <v>-0.38847568684349448</v>
      </c>
    </row>
    <row r="79" spans="1:20" x14ac:dyDescent="0.25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8"/>
        <v>0.8240707252140913</v>
      </c>
      <c r="P79">
        <f t="shared" si="9"/>
        <v>0.69509975820256942</v>
      </c>
      <c r="Q79">
        <f t="shared" si="10"/>
        <v>1</v>
      </c>
      <c r="R79">
        <f t="shared" si="11"/>
        <v>0</v>
      </c>
      <c r="S79">
        <f t="shared" si="12"/>
        <v>0.69509975820256942</v>
      </c>
      <c r="T79">
        <f t="shared" si="13"/>
        <v>-0.36369990673567759</v>
      </c>
    </row>
    <row r="80" spans="1:20" x14ac:dyDescent="0.25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8"/>
        <v>0.80162111165931016</v>
      </c>
      <c r="P80">
        <f t="shared" si="9"/>
        <v>0.69032114579249781</v>
      </c>
      <c r="Q80">
        <f t="shared" si="10"/>
        <v>1</v>
      </c>
      <c r="R80">
        <f t="shared" si="11"/>
        <v>0</v>
      </c>
      <c r="S80">
        <f t="shared" si="12"/>
        <v>0.69032114579249781</v>
      </c>
      <c r="T80">
        <f t="shared" si="13"/>
        <v>-0.37059836098438692</v>
      </c>
    </row>
    <row r="81" spans="1:20" x14ac:dyDescent="0.25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8"/>
        <v>0.53163247264127533</v>
      </c>
      <c r="P81">
        <f t="shared" si="9"/>
        <v>0.6298637797441774</v>
      </c>
      <c r="Q81">
        <f t="shared" si="10"/>
        <v>1</v>
      </c>
      <c r="R81">
        <f t="shared" si="11"/>
        <v>1</v>
      </c>
      <c r="S81">
        <f t="shared" si="12"/>
        <v>0.3701362202558226</v>
      </c>
      <c r="T81">
        <f t="shared" si="13"/>
        <v>-0.99388417824560626</v>
      </c>
    </row>
    <row r="82" spans="1:20" x14ac:dyDescent="0.25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8"/>
        <v>0.20868944684277402</v>
      </c>
      <c r="P82">
        <f t="shared" si="9"/>
        <v>0.55198383494264558</v>
      </c>
      <c r="Q82">
        <f t="shared" si="10"/>
        <v>1</v>
      </c>
      <c r="R82">
        <f t="shared" si="11"/>
        <v>1</v>
      </c>
      <c r="S82">
        <f t="shared" si="12"/>
        <v>0.44801616505735442</v>
      </c>
      <c r="T82">
        <f t="shared" si="13"/>
        <v>-0.80292596450080855</v>
      </c>
    </row>
    <row r="83" spans="1:20" x14ac:dyDescent="0.25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8"/>
        <v>1.1019695766624931</v>
      </c>
      <c r="P83">
        <f t="shared" si="9"/>
        <v>0.75062896300568649</v>
      </c>
      <c r="Q83">
        <f t="shared" si="10"/>
        <v>1</v>
      </c>
      <c r="R83">
        <f t="shared" si="11"/>
        <v>0</v>
      </c>
      <c r="S83">
        <f t="shared" si="12"/>
        <v>0.75062896300568649</v>
      </c>
      <c r="T83">
        <f t="shared" si="13"/>
        <v>-0.28684380655391739</v>
      </c>
    </row>
    <row r="84" spans="1:20" x14ac:dyDescent="0.25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8"/>
        <v>0.17700088671817715</v>
      </c>
      <c r="P84">
        <f t="shared" si="9"/>
        <v>0.54413505505147775</v>
      </c>
      <c r="Q84">
        <f t="shared" si="10"/>
        <v>1</v>
      </c>
      <c r="R84">
        <f t="shared" si="11"/>
        <v>1</v>
      </c>
      <c r="S84">
        <f t="shared" si="12"/>
        <v>0.45586494494852225</v>
      </c>
      <c r="T84">
        <f t="shared" si="13"/>
        <v>-0.78555868669424589</v>
      </c>
    </row>
    <row r="85" spans="1:20" x14ac:dyDescent="0.25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8"/>
        <v>0.19737744635748444</v>
      </c>
      <c r="P85">
        <f t="shared" si="9"/>
        <v>0.54918478734845977</v>
      </c>
      <c r="Q85">
        <f t="shared" si="10"/>
        <v>1</v>
      </c>
      <c r="R85">
        <f t="shared" si="11"/>
        <v>1</v>
      </c>
      <c r="S85">
        <f t="shared" si="12"/>
        <v>0.45081521265154023</v>
      </c>
      <c r="T85">
        <f t="shared" si="13"/>
        <v>-0.79669775148629463</v>
      </c>
    </row>
    <row r="86" spans="1:20" x14ac:dyDescent="0.25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8"/>
        <v>0.78876695935131691</v>
      </c>
      <c r="P86">
        <f t="shared" si="9"/>
        <v>0.68756651154585946</v>
      </c>
      <c r="Q86">
        <f t="shared" si="10"/>
        <v>1</v>
      </c>
      <c r="R86">
        <f t="shared" si="11"/>
        <v>0</v>
      </c>
      <c r="S86">
        <f t="shared" si="12"/>
        <v>0.68756651154585946</v>
      </c>
      <c r="T86">
        <f t="shared" si="13"/>
        <v>-0.37459671005411144</v>
      </c>
    </row>
    <row r="87" spans="1:20" x14ac:dyDescent="0.25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8"/>
        <v>1.0303370201699267</v>
      </c>
      <c r="P87">
        <f t="shared" si="9"/>
        <v>0.73698122900585472</v>
      </c>
      <c r="Q87">
        <f t="shared" si="10"/>
        <v>1</v>
      </c>
      <c r="R87">
        <f t="shared" si="11"/>
        <v>0</v>
      </c>
      <c r="S87">
        <f t="shared" si="12"/>
        <v>0.73698122900585472</v>
      </c>
      <c r="T87">
        <f t="shared" si="13"/>
        <v>-0.30519285658003642</v>
      </c>
    </row>
    <row r="88" spans="1:20" x14ac:dyDescent="0.25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8"/>
        <v>0.6044154025708055</v>
      </c>
      <c r="P88">
        <f t="shared" si="9"/>
        <v>0.64666582985297627</v>
      </c>
      <c r="Q88">
        <f t="shared" si="10"/>
        <v>1</v>
      </c>
      <c r="R88">
        <f t="shared" si="11"/>
        <v>0</v>
      </c>
      <c r="S88">
        <f t="shared" si="12"/>
        <v>0.64666582985297627</v>
      </c>
      <c r="T88">
        <f t="shared" si="13"/>
        <v>-0.43592560963549948</v>
      </c>
    </row>
    <row r="89" spans="1:20" x14ac:dyDescent="0.25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8"/>
        <v>0.51459506262760657</v>
      </c>
      <c r="P89">
        <f t="shared" si="9"/>
        <v>0.6258830451145454</v>
      </c>
      <c r="Q89">
        <f t="shared" si="10"/>
        <v>1</v>
      </c>
      <c r="R89">
        <f t="shared" si="11"/>
        <v>1</v>
      </c>
      <c r="S89">
        <f t="shared" si="12"/>
        <v>0.3741169548854546</v>
      </c>
      <c r="T89">
        <f t="shared" si="13"/>
        <v>-0.98318681685483889</v>
      </c>
    </row>
    <row r="90" spans="1:20" x14ac:dyDescent="0.25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8"/>
        <v>0.36214276455020245</v>
      </c>
      <c r="P90">
        <f t="shared" si="9"/>
        <v>0.58955903778844498</v>
      </c>
      <c r="Q90">
        <f t="shared" si="10"/>
        <v>1</v>
      </c>
      <c r="R90">
        <f t="shared" si="11"/>
        <v>0</v>
      </c>
      <c r="S90">
        <f t="shared" si="12"/>
        <v>0.58955903778844498</v>
      </c>
      <c r="T90">
        <f t="shared" si="13"/>
        <v>-0.52838041509910161</v>
      </c>
    </row>
    <row r="91" spans="1:20" x14ac:dyDescent="0.25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8"/>
        <v>0.44991675593310609</v>
      </c>
      <c r="P91">
        <f t="shared" si="9"/>
        <v>0.61061944174418259</v>
      </c>
      <c r="Q91">
        <f t="shared" si="10"/>
        <v>1</v>
      </c>
      <c r="R91">
        <f t="shared" si="11"/>
        <v>1</v>
      </c>
      <c r="S91">
        <f t="shared" si="12"/>
        <v>0.38938055825581741</v>
      </c>
      <c r="T91">
        <f t="shared" si="13"/>
        <v>-0.9431981147280053</v>
      </c>
    </row>
    <row r="92" spans="1:20" x14ac:dyDescent="0.25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8"/>
        <v>0.32980247711305832</v>
      </c>
      <c r="P92">
        <f t="shared" si="9"/>
        <v>0.5817113157047421</v>
      </c>
      <c r="Q92">
        <f t="shared" si="10"/>
        <v>1</v>
      </c>
      <c r="R92">
        <f t="shared" si="11"/>
        <v>1</v>
      </c>
      <c r="S92">
        <f t="shared" si="12"/>
        <v>0.4182886842952579</v>
      </c>
      <c r="T92">
        <f t="shared" si="13"/>
        <v>-0.87158345254880409</v>
      </c>
    </row>
    <row r="93" spans="1:20" x14ac:dyDescent="0.25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8"/>
        <v>9.9070914758508266E-2</v>
      </c>
      <c r="P93">
        <f t="shared" si="9"/>
        <v>0.52474749051990643</v>
      </c>
      <c r="Q93">
        <f t="shared" si="10"/>
        <v>1</v>
      </c>
      <c r="R93">
        <f t="shared" si="11"/>
        <v>1</v>
      </c>
      <c r="S93">
        <f t="shared" si="12"/>
        <v>0.47525250948009357</v>
      </c>
      <c r="T93">
        <f t="shared" si="13"/>
        <v>-0.7439090172906776</v>
      </c>
    </row>
    <row r="94" spans="1:20" x14ac:dyDescent="0.25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8"/>
        <v>0.1456862444596696</v>
      </c>
      <c r="P94">
        <f t="shared" si="9"/>
        <v>0.53635727848453019</v>
      </c>
      <c r="Q94">
        <f t="shared" si="10"/>
        <v>1</v>
      </c>
      <c r="R94">
        <f t="shared" si="11"/>
        <v>1</v>
      </c>
      <c r="S94">
        <f t="shared" si="12"/>
        <v>0.46364272151546981</v>
      </c>
      <c r="T94">
        <f t="shared" si="13"/>
        <v>-0.76864102008953183</v>
      </c>
    </row>
    <row r="95" spans="1:20" x14ac:dyDescent="0.25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8"/>
        <v>-2.9047907493185809E-2</v>
      </c>
      <c r="P95">
        <f t="shared" si="9"/>
        <v>0.49273853371008802</v>
      </c>
      <c r="Q95">
        <f t="shared" si="10"/>
        <v>0</v>
      </c>
      <c r="R95">
        <f t="shared" si="11"/>
        <v>0</v>
      </c>
      <c r="S95">
        <f t="shared" si="12"/>
        <v>0.50726146628991198</v>
      </c>
      <c r="T95">
        <f t="shared" si="13"/>
        <v>-0.67872869572161998</v>
      </c>
    </row>
    <row r="96" spans="1:20" x14ac:dyDescent="0.25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8"/>
        <v>0.13609967545891544</v>
      </c>
      <c r="P96">
        <f t="shared" si="9"/>
        <v>0.53397249532471536</v>
      </c>
      <c r="Q96">
        <f t="shared" si="10"/>
        <v>1</v>
      </c>
      <c r="R96">
        <f t="shared" si="11"/>
        <v>1</v>
      </c>
      <c r="S96">
        <f t="shared" si="12"/>
        <v>0.46602750467528464</v>
      </c>
      <c r="T96">
        <f t="shared" si="13"/>
        <v>-0.76351062368993838</v>
      </c>
    </row>
    <row r="97" spans="1:20" x14ac:dyDescent="0.25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8"/>
        <v>0.86935290701240309</v>
      </c>
      <c r="P97">
        <f t="shared" si="9"/>
        <v>0.70461103357053101</v>
      </c>
      <c r="Q97">
        <f t="shared" si="10"/>
        <v>1</v>
      </c>
      <c r="R97">
        <f t="shared" si="11"/>
        <v>0</v>
      </c>
      <c r="S97">
        <f t="shared" si="12"/>
        <v>0.70461103357053101</v>
      </c>
      <c r="T97">
        <f t="shared" si="13"/>
        <v>-0.35010935385822051</v>
      </c>
    </row>
    <row r="98" spans="1:20" x14ac:dyDescent="0.25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8"/>
        <v>0.20358831549546164</v>
      </c>
      <c r="P98">
        <f t="shared" si="9"/>
        <v>0.55072200511924163</v>
      </c>
      <c r="Q98">
        <f t="shared" si="10"/>
        <v>1</v>
      </c>
      <c r="R98">
        <f t="shared" si="11"/>
        <v>1</v>
      </c>
      <c r="S98">
        <f t="shared" si="12"/>
        <v>0.44927799488075837</v>
      </c>
      <c r="T98">
        <f t="shared" si="13"/>
        <v>-0.80011344055597944</v>
      </c>
    </row>
    <row r="99" spans="1:20" x14ac:dyDescent="0.25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8"/>
        <v>0.14825151583984386</v>
      </c>
      <c r="P99">
        <f t="shared" si="9"/>
        <v>0.53699514557995043</v>
      </c>
      <c r="Q99">
        <f t="shared" si="10"/>
        <v>1</v>
      </c>
      <c r="R99">
        <f t="shared" si="11"/>
        <v>1</v>
      </c>
      <c r="S99">
        <f t="shared" si="12"/>
        <v>0.46300485442004957</v>
      </c>
      <c r="T99">
        <f t="shared" si="13"/>
        <v>-0.77001774024233671</v>
      </c>
    </row>
    <row r="100" spans="1:20" x14ac:dyDescent="0.25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8"/>
        <v>0.71312048423630992</v>
      </c>
      <c r="P100">
        <f t="shared" si="9"/>
        <v>0.6710903057533375</v>
      </c>
      <c r="Q100">
        <f t="shared" si="10"/>
        <v>1</v>
      </c>
      <c r="R100">
        <f t="shared" si="11"/>
        <v>0</v>
      </c>
      <c r="S100">
        <f t="shared" si="12"/>
        <v>0.6710903057533375</v>
      </c>
      <c r="T100">
        <f t="shared" si="13"/>
        <v>-0.39885156723096887</v>
      </c>
    </row>
    <row r="101" spans="1:20" x14ac:dyDescent="0.25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8"/>
        <v>0.63904071789941175</v>
      </c>
      <c r="P101">
        <f t="shared" si="9"/>
        <v>0.65453658139711934</v>
      </c>
      <c r="Q101">
        <f t="shared" si="10"/>
        <v>1</v>
      </c>
      <c r="R101">
        <f t="shared" si="11"/>
        <v>0</v>
      </c>
      <c r="S101">
        <f t="shared" si="12"/>
        <v>0.65453658139711934</v>
      </c>
      <c r="T101">
        <f t="shared" si="13"/>
        <v>-0.42382780306709245</v>
      </c>
    </row>
    <row r="102" spans="1:20" x14ac:dyDescent="0.25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8"/>
        <v>0.62622159276281097</v>
      </c>
      <c r="P102">
        <f t="shared" si="9"/>
        <v>0.6516322269321928</v>
      </c>
      <c r="Q102">
        <f t="shared" si="10"/>
        <v>1</v>
      </c>
      <c r="R102">
        <f t="shared" si="11"/>
        <v>0</v>
      </c>
      <c r="S102">
        <f t="shared" si="12"/>
        <v>0.6516322269321928</v>
      </c>
      <c r="T102">
        <f t="shared" si="13"/>
        <v>-0.42827494532472454</v>
      </c>
    </row>
    <row r="103" spans="1:20" x14ac:dyDescent="0.25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8"/>
        <v>9.0488010625754844E-2</v>
      </c>
      <c r="P103">
        <f t="shared" si="9"/>
        <v>0.5226065793875927</v>
      </c>
      <c r="Q103">
        <f t="shared" si="10"/>
        <v>1</v>
      </c>
      <c r="R103">
        <f t="shared" si="11"/>
        <v>1</v>
      </c>
      <c r="S103">
        <f t="shared" si="12"/>
        <v>0.4773934206124073</v>
      </c>
      <c r="T103">
        <f t="shared" si="13"/>
        <v>-0.73941434688078123</v>
      </c>
    </row>
    <row r="104" spans="1:20" x14ac:dyDescent="0.25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8"/>
        <v>0.33589711120774446</v>
      </c>
      <c r="P104">
        <f t="shared" si="9"/>
        <v>0.58319353921037254</v>
      </c>
      <c r="Q104">
        <f t="shared" si="10"/>
        <v>1</v>
      </c>
      <c r="R104">
        <f t="shared" si="11"/>
        <v>1</v>
      </c>
      <c r="S104">
        <f t="shared" si="12"/>
        <v>0.41680646078962746</v>
      </c>
      <c r="T104">
        <f t="shared" si="13"/>
        <v>-0.87513328772831134</v>
      </c>
    </row>
    <row r="105" spans="1:20" x14ac:dyDescent="0.25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8"/>
        <v>1.0519040495757632</v>
      </c>
      <c r="P105">
        <f t="shared" si="9"/>
        <v>0.74114036130735506</v>
      </c>
      <c r="Q105">
        <f t="shared" si="10"/>
        <v>1</v>
      </c>
      <c r="R105">
        <f t="shared" si="11"/>
        <v>0</v>
      </c>
      <c r="S105">
        <f t="shared" si="12"/>
        <v>0.74114036130735506</v>
      </c>
      <c r="T105">
        <f t="shared" si="13"/>
        <v>-0.29956525015661539</v>
      </c>
    </row>
    <row r="106" spans="1:20" x14ac:dyDescent="0.25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8"/>
        <v>1.2701033938879163</v>
      </c>
      <c r="P106">
        <f t="shared" si="9"/>
        <v>0.78076044672696132</v>
      </c>
      <c r="Q106">
        <f t="shared" si="10"/>
        <v>1</v>
      </c>
      <c r="R106">
        <f t="shared" si="11"/>
        <v>0</v>
      </c>
      <c r="S106">
        <f t="shared" si="12"/>
        <v>0.78076044672696132</v>
      </c>
      <c r="T106">
        <f t="shared" si="13"/>
        <v>-0.24748690253451569</v>
      </c>
    </row>
    <row r="107" spans="1:20" x14ac:dyDescent="0.25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8"/>
        <v>0.92471042889176602</v>
      </c>
      <c r="P107">
        <f t="shared" si="9"/>
        <v>0.71600091506588459</v>
      </c>
      <c r="Q107">
        <f t="shared" si="10"/>
        <v>1</v>
      </c>
      <c r="R107">
        <f t="shared" si="11"/>
        <v>0</v>
      </c>
      <c r="S107">
        <f t="shared" si="12"/>
        <v>0.71600091506588459</v>
      </c>
      <c r="T107">
        <f t="shared" si="13"/>
        <v>-0.33407383399732965</v>
      </c>
    </row>
    <row r="108" spans="1:20" x14ac:dyDescent="0.25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8"/>
        <v>0.67337546444759688</v>
      </c>
      <c r="P108">
        <f t="shared" si="9"/>
        <v>0.66225856963496643</v>
      </c>
      <c r="Q108">
        <f t="shared" si="10"/>
        <v>1</v>
      </c>
      <c r="R108">
        <f t="shared" si="11"/>
        <v>0</v>
      </c>
      <c r="S108">
        <f t="shared" si="12"/>
        <v>0.66225856963496643</v>
      </c>
      <c r="T108">
        <f t="shared" si="13"/>
        <v>-0.41209921073253164</v>
      </c>
    </row>
    <row r="109" spans="1:20" x14ac:dyDescent="0.25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8"/>
        <v>0.54760713070507694</v>
      </c>
      <c r="P109">
        <f t="shared" si="9"/>
        <v>0.63358024906260968</v>
      </c>
      <c r="Q109">
        <f t="shared" si="10"/>
        <v>1</v>
      </c>
      <c r="R109">
        <f t="shared" si="11"/>
        <v>1</v>
      </c>
      <c r="S109">
        <f t="shared" si="12"/>
        <v>0.36641975093739032</v>
      </c>
      <c r="T109">
        <f t="shared" si="13"/>
        <v>-1.0039757422381979</v>
      </c>
    </row>
    <row r="110" spans="1:20" x14ac:dyDescent="0.25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8"/>
        <v>3.7664889838914417E-2</v>
      </c>
      <c r="P110">
        <f t="shared" si="9"/>
        <v>0.50941510942872748</v>
      </c>
      <c r="Q110">
        <f t="shared" si="10"/>
        <v>1</v>
      </c>
      <c r="R110">
        <f t="shared" si="11"/>
        <v>1</v>
      </c>
      <c r="S110">
        <f t="shared" si="12"/>
        <v>0.49058489057127252</v>
      </c>
      <c r="T110">
        <f t="shared" si="13"/>
        <v>-0.71215694548918163</v>
      </c>
    </row>
    <row r="111" spans="1:20" x14ac:dyDescent="0.25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8"/>
        <v>0.495213479420058</v>
      </c>
      <c r="P111">
        <f t="shared" si="9"/>
        <v>0.62133382352494337</v>
      </c>
      <c r="Q111">
        <f t="shared" si="10"/>
        <v>1</v>
      </c>
      <c r="R111">
        <f t="shared" si="11"/>
        <v>1</v>
      </c>
      <c r="S111">
        <f t="shared" si="12"/>
        <v>0.37866617647505663</v>
      </c>
      <c r="T111">
        <f t="shared" si="13"/>
        <v>-0.97110026289008489</v>
      </c>
    </row>
    <row r="112" spans="1:20" x14ac:dyDescent="0.25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8"/>
        <v>0.29034122835222909</v>
      </c>
      <c r="P112">
        <f t="shared" si="9"/>
        <v>0.57207966922875164</v>
      </c>
      <c r="Q112">
        <f t="shared" si="10"/>
        <v>1</v>
      </c>
      <c r="R112">
        <f t="shared" si="11"/>
        <v>1</v>
      </c>
      <c r="S112">
        <f t="shared" si="12"/>
        <v>0.42792033077124836</v>
      </c>
      <c r="T112">
        <f t="shared" si="13"/>
        <v>-0.84881824378494042</v>
      </c>
    </row>
    <row r="113" spans="1:20" x14ac:dyDescent="0.25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8"/>
        <v>0.16592947789272494</v>
      </c>
      <c r="P113">
        <f t="shared" si="9"/>
        <v>0.54138745436229174</v>
      </c>
      <c r="Q113">
        <f t="shared" si="10"/>
        <v>1</v>
      </c>
      <c r="R113">
        <f t="shared" si="11"/>
        <v>1</v>
      </c>
      <c r="S113">
        <f t="shared" si="12"/>
        <v>0.45861254563770826</v>
      </c>
      <c r="T113">
        <f t="shared" si="13"/>
        <v>-0.77954955254849922</v>
      </c>
    </row>
    <row r="114" spans="1:20" x14ac:dyDescent="0.25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8"/>
        <v>0.61881052623760313</v>
      </c>
      <c r="P114">
        <f t="shared" si="9"/>
        <v>0.64994797302221929</v>
      </c>
      <c r="Q114">
        <f t="shared" si="10"/>
        <v>1</v>
      </c>
      <c r="R114">
        <f t="shared" si="11"/>
        <v>0</v>
      </c>
      <c r="S114">
        <f t="shared" si="12"/>
        <v>0.64994797302221929</v>
      </c>
      <c r="T114">
        <f t="shared" si="13"/>
        <v>-0.4308629608002244</v>
      </c>
    </row>
    <row r="115" spans="1:20" x14ac:dyDescent="0.25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8"/>
        <v>-8.7411132132986236E-4</v>
      </c>
      <c r="P115">
        <f t="shared" si="9"/>
        <v>0.49978147218358171</v>
      </c>
      <c r="Q115">
        <f t="shared" si="10"/>
        <v>0</v>
      </c>
      <c r="R115">
        <f t="shared" si="11"/>
        <v>0</v>
      </c>
      <c r="S115">
        <f t="shared" si="12"/>
        <v>0.50021852781641829</v>
      </c>
      <c r="T115">
        <f t="shared" si="13"/>
        <v>-0.69271022040810248</v>
      </c>
    </row>
    <row r="116" spans="1:20" x14ac:dyDescent="0.25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8"/>
        <v>0.46068946348418605</v>
      </c>
      <c r="P116">
        <f t="shared" si="9"/>
        <v>0.61317772329217213</v>
      </c>
      <c r="Q116">
        <f t="shared" si="10"/>
        <v>1</v>
      </c>
      <c r="R116">
        <f t="shared" si="11"/>
        <v>0</v>
      </c>
      <c r="S116">
        <f t="shared" si="12"/>
        <v>0.61317772329217213</v>
      </c>
      <c r="T116">
        <f t="shared" si="13"/>
        <v>-0.48910046126118817</v>
      </c>
    </row>
    <row r="117" spans="1:20" x14ac:dyDescent="0.25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8"/>
        <v>0.31196062997956986</v>
      </c>
      <c r="P117">
        <f t="shared" si="9"/>
        <v>0.5773637563865367</v>
      </c>
      <c r="Q117">
        <f t="shared" si="10"/>
        <v>1</v>
      </c>
      <c r="R117">
        <f t="shared" si="11"/>
        <v>1</v>
      </c>
      <c r="S117">
        <f t="shared" si="12"/>
        <v>0.4226362436134633</v>
      </c>
      <c r="T117">
        <f t="shared" si="13"/>
        <v>-0.86124341407617611</v>
      </c>
    </row>
    <row r="118" spans="1:20" x14ac:dyDescent="0.25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8"/>
        <v>0.97655689579831839</v>
      </c>
      <c r="P118">
        <f t="shared" si="9"/>
        <v>0.72642449524268682</v>
      </c>
      <c r="Q118">
        <f t="shared" si="10"/>
        <v>1</v>
      </c>
      <c r="R118">
        <f t="shared" si="11"/>
        <v>0</v>
      </c>
      <c r="S118">
        <f t="shared" si="12"/>
        <v>0.72642449524268682</v>
      </c>
      <c r="T118">
        <f t="shared" si="13"/>
        <v>-0.31962073083920428</v>
      </c>
    </row>
    <row r="119" spans="1:20" x14ac:dyDescent="0.25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8"/>
        <v>0.99310011480924598</v>
      </c>
      <c r="P119">
        <f t="shared" si="9"/>
        <v>0.72969981801250106</v>
      </c>
      <c r="Q119">
        <f t="shared" si="10"/>
        <v>1</v>
      </c>
      <c r="R119">
        <f t="shared" si="11"/>
        <v>0</v>
      </c>
      <c r="S119">
        <f t="shared" si="12"/>
        <v>0.72969981801250106</v>
      </c>
      <c r="T119">
        <f t="shared" si="13"/>
        <v>-0.3151220376110308</v>
      </c>
    </row>
    <row r="120" spans="1:20" x14ac:dyDescent="0.25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8"/>
        <v>0.55124038502944206</v>
      </c>
      <c r="P120">
        <f t="shared" si="9"/>
        <v>0.63442332190867812</v>
      </c>
      <c r="Q120">
        <f t="shared" si="10"/>
        <v>1</v>
      </c>
      <c r="R120">
        <f t="shared" si="11"/>
        <v>0</v>
      </c>
      <c r="S120">
        <f t="shared" si="12"/>
        <v>0.63442332190867812</v>
      </c>
      <c r="T120">
        <f t="shared" si="13"/>
        <v>-0.45503884718607818</v>
      </c>
    </row>
    <row r="121" spans="1:20" x14ac:dyDescent="0.25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8"/>
        <v>0.99470931948114139</v>
      </c>
      <c r="P121">
        <f t="shared" si="9"/>
        <v>0.73001709696772266</v>
      </c>
      <c r="Q121">
        <f t="shared" si="10"/>
        <v>1</v>
      </c>
      <c r="R121">
        <f t="shared" si="11"/>
        <v>0</v>
      </c>
      <c r="S121">
        <f t="shared" si="12"/>
        <v>0.73001709696772266</v>
      </c>
      <c r="T121">
        <f t="shared" si="13"/>
        <v>-0.3146873246102263</v>
      </c>
    </row>
    <row r="122" spans="1:20" x14ac:dyDescent="0.25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8"/>
        <v>0.2962024871678639</v>
      </c>
      <c r="P122">
        <f t="shared" si="9"/>
        <v>0.5735139218415708</v>
      </c>
      <c r="Q122">
        <f t="shared" si="10"/>
        <v>1</v>
      </c>
      <c r="R122">
        <f t="shared" si="11"/>
        <v>1</v>
      </c>
      <c r="S122">
        <f t="shared" si="12"/>
        <v>0.4264860781584292</v>
      </c>
      <c r="T122">
        <f t="shared" si="13"/>
        <v>-0.85217555465015604</v>
      </c>
    </row>
    <row r="123" spans="1:20" x14ac:dyDescent="0.25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8"/>
        <v>0.82580692555298407</v>
      </c>
      <c r="P123">
        <f t="shared" si="9"/>
        <v>0.69546759701276561</v>
      </c>
      <c r="Q123">
        <f t="shared" si="10"/>
        <v>1</v>
      </c>
      <c r="R123">
        <f t="shared" si="11"/>
        <v>0</v>
      </c>
      <c r="S123">
        <f t="shared" si="12"/>
        <v>0.69546759701276561</v>
      </c>
      <c r="T123">
        <f t="shared" si="13"/>
        <v>-0.36317085818956263</v>
      </c>
    </row>
    <row r="124" spans="1:20" x14ac:dyDescent="0.25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8"/>
        <v>0.25979183732168543</v>
      </c>
      <c r="P124">
        <f t="shared" si="9"/>
        <v>0.56458512011761819</v>
      </c>
      <c r="Q124">
        <f t="shared" si="10"/>
        <v>1</v>
      </c>
      <c r="R124">
        <f t="shared" si="11"/>
        <v>1</v>
      </c>
      <c r="S124">
        <f t="shared" si="12"/>
        <v>0.43541487988238181</v>
      </c>
      <c r="T124">
        <f t="shared" si="13"/>
        <v>-0.83145595556495566</v>
      </c>
    </row>
    <row r="125" spans="1:20" x14ac:dyDescent="0.25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8"/>
        <v>0.41341245684147587</v>
      </c>
      <c r="P125">
        <f t="shared" si="9"/>
        <v>0.60190583902814465</v>
      </c>
      <c r="Q125">
        <f t="shared" si="10"/>
        <v>1</v>
      </c>
      <c r="R125">
        <f t="shared" si="11"/>
        <v>1</v>
      </c>
      <c r="S125">
        <f t="shared" si="12"/>
        <v>0.39809416097185535</v>
      </c>
      <c r="T125">
        <f t="shared" si="13"/>
        <v>-0.92106671632318105</v>
      </c>
    </row>
    <row r="126" spans="1:20" x14ac:dyDescent="0.25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8"/>
        <v>-9.3100148961211382E-2</v>
      </c>
      <c r="P126">
        <f t="shared" si="9"/>
        <v>0.47674175983334449</v>
      </c>
      <c r="Q126">
        <f t="shared" si="10"/>
        <v>0</v>
      </c>
      <c r="R126">
        <f t="shared" si="11"/>
        <v>0</v>
      </c>
      <c r="S126">
        <f t="shared" si="12"/>
        <v>0.52325824016665545</v>
      </c>
      <c r="T126">
        <f t="shared" si="13"/>
        <v>-0.64768016973099618</v>
      </c>
    </row>
    <row r="127" spans="1:20" x14ac:dyDescent="0.25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8"/>
        <v>0.11153010267575714</v>
      </c>
      <c r="P127">
        <f t="shared" si="9"/>
        <v>0.52785365909813653</v>
      </c>
      <c r="Q127">
        <f t="shared" si="10"/>
        <v>1</v>
      </c>
      <c r="R127">
        <f t="shared" si="11"/>
        <v>0</v>
      </c>
      <c r="S127">
        <f t="shared" si="12"/>
        <v>0.52785365909813653</v>
      </c>
      <c r="T127">
        <f t="shared" si="13"/>
        <v>-0.63893619449101213</v>
      </c>
    </row>
    <row r="128" spans="1:20" x14ac:dyDescent="0.25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8"/>
        <v>0.30937026559554415</v>
      </c>
      <c r="P128">
        <f t="shared" si="9"/>
        <v>0.57673154266968285</v>
      </c>
      <c r="Q128">
        <f t="shared" si="10"/>
        <v>1</v>
      </c>
      <c r="R128">
        <f t="shared" si="11"/>
        <v>1</v>
      </c>
      <c r="S128">
        <f t="shared" si="12"/>
        <v>0.42326845733031715</v>
      </c>
      <c r="T128">
        <f t="shared" si="13"/>
        <v>-0.85974865034247794</v>
      </c>
    </row>
    <row r="129" spans="1:20" x14ac:dyDescent="0.25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8"/>
        <v>1.2308424825694835</v>
      </c>
      <c r="P129">
        <f t="shared" si="9"/>
        <v>0.77396599440673586</v>
      </c>
      <c r="Q129">
        <f t="shared" si="10"/>
        <v>1</v>
      </c>
      <c r="R129">
        <f t="shared" si="11"/>
        <v>0</v>
      </c>
      <c r="S129">
        <f t="shared" si="12"/>
        <v>0.77396599440673586</v>
      </c>
      <c r="T129">
        <f t="shared" si="13"/>
        <v>-0.25622734123259311</v>
      </c>
    </row>
    <row r="130" spans="1:20" x14ac:dyDescent="0.25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8"/>
        <v>0.29524274995598021</v>
      </c>
      <c r="P130">
        <f t="shared" si="9"/>
        <v>0.57327915769771098</v>
      </c>
      <c r="Q130">
        <f t="shared" si="10"/>
        <v>1</v>
      </c>
      <c r="R130">
        <f t="shared" si="11"/>
        <v>1</v>
      </c>
      <c r="S130">
        <f t="shared" si="12"/>
        <v>0.42672084230228902</v>
      </c>
      <c r="T130">
        <f t="shared" si="13"/>
        <v>-0.85162524465112854</v>
      </c>
    </row>
    <row r="131" spans="1:20" x14ac:dyDescent="0.25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8"/>
        <v>0.88999642873957829</v>
      </c>
      <c r="P131">
        <f t="shared" si="9"/>
        <v>0.70888943558278528</v>
      </c>
      <c r="Q131">
        <f t="shared" si="10"/>
        <v>1</v>
      </c>
      <c r="R131">
        <f t="shared" si="11"/>
        <v>0</v>
      </c>
      <c r="S131">
        <f t="shared" si="12"/>
        <v>0.70888943558278528</v>
      </c>
      <c r="T131">
        <f t="shared" si="13"/>
        <v>-0.3440557087815318</v>
      </c>
    </row>
    <row r="132" spans="1:20" x14ac:dyDescent="0.25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8"/>
        <v>0.32994102727357744</v>
      </c>
      <c r="P132">
        <f t="shared" si="9"/>
        <v>0.58174502779988335</v>
      </c>
      <c r="Q132">
        <f t="shared" si="10"/>
        <v>1</v>
      </c>
      <c r="R132">
        <f t="shared" si="11"/>
        <v>0</v>
      </c>
      <c r="S132">
        <f t="shared" si="12"/>
        <v>0.58174502779988335</v>
      </c>
      <c r="T132">
        <f t="shared" si="13"/>
        <v>-0.54172302380681014</v>
      </c>
    </row>
    <row r="133" spans="1:20" x14ac:dyDescent="0.25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8"/>
        <v>0.2694586654490323</v>
      </c>
      <c r="P133">
        <f t="shared" si="9"/>
        <v>0.56696000329869745</v>
      </c>
      <c r="Q133">
        <f t="shared" si="10"/>
        <v>1</v>
      </c>
      <c r="R133">
        <f t="shared" si="11"/>
        <v>1</v>
      </c>
      <c r="S133">
        <f t="shared" si="12"/>
        <v>0.43303999670130255</v>
      </c>
      <c r="T133">
        <f t="shared" si="13"/>
        <v>-0.83692518411094985</v>
      </c>
    </row>
    <row r="134" spans="1:20" x14ac:dyDescent="0.25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ref="O134:O197" si="14">SUMPRODUCT(A$4:M$4, A134:M134)+N$4</f>
        <v>0.21750082472935039</v>
      </c>
      <c r="P134">
        <f t="shared" ref="P134:P197" si="15">1/(1+EXP(0-O134))</f>
        <v>0.55416185652664618</v>
      </c>
      <c r="Q134">
        <f t="shared" ref="Q134:Q197" si="16">IF(P134&lt;=0.5, 0, 1)</f>
        <v>1</v>
      </c>
      <c r="R134">
        <f t="shared" ref="R134:R197" si="17">IF(N134=Q134, 0, 1)</f>
        <v>1</v>
      </c>
      <c r="S134">
        <f t="shared" ref="S134:S197" si="18">IF(N134=1, P134, 1-P134)</f>
        <v>0.44583814347335382</v>
      </c>
      <c r="T134">
        <f t="shared" ref="T134:T197" si="19">IF(S134=0, -100000, LN(S134))</f>
        <v>-0.80779929983917564</v>
      </c>
    </row>
    <row r="135" spans="1:20" x14ac:dyDescent="0.25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si="14"/>
        <v>0.1679785452129654</v>
      </c>
      <c r="P135">
        <f t="shared" si="15"/>
        <v>0.54189616798133466</v>
      </c>
      <c r="Q135">
        <f t="shared" si="16"/>
        <v>1</v>
      </c>
      <c r="R135">
        <f t="shared" si="17"/>
        <v>1</v>
      </c>
      <c r="S135">
        <f t="shared" si="18"/>
        <v>0.45810383201866534</v>
      </c>
      <c r="T135">
        <f t="shared" si="19"/>
        <v>-0.78065941309787124</v>
      </c>
    </row>
    <row r="136" spans="1:20" x14ac:dyDescent="0.25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4"/>
        <v>0.12077529834403355</v>
      </c>
      <c r="P136">
        <f t="shared" si="15"/>
        <v>0.53015717575715249</v>
      </c>
      <c r="Q136">
        <f t="shared" si="16"/>
        <v>1</v>
      </c>
      <c r="R136">
        <f t="shared" si="17"/>
        <v>1</v>
      </c>
      <c r="S136">
        <f t="shared" si="18"/>
        <v>0.46984282424284751</v>
      </c>
      <c r="T136">
        <f t="shared" si="19"/>
        <v>-0.75535705671228137</v>
      </c>
    </row>
    <row r="137" spans="1:20" x14ac:dyDescent="0.25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4"/>
        <v>0.98769756694859057</v>
      </c>
      <c r="P137">
        <f t="shared" si="15"/>
        <v>0.72863290891108135</v>
      </c>
      <c r="Q137">
        <f t="shared" si="16"/>
        <v>1</v>
      </c>
      <c r="R137">
        <f t="shared" si="17"/>
        <v>0</v>
      </c>
      <c r="S137">
        <f t="shared" si="18"/>
        <v>0.72863290891108135</v>
      </c>
      <c r="T137">
        <f t="shared" si="19"/>
        <v>-0.31658522810531292</v>
      </c>
    </row>
    <row r="138" spans="1:20" x14ac:dyDescent="0.25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4"/>
        <v>0.90354253726019107</v>
      </c>
      <c r="P138">
        <f t="shared" si="15"/>
        <v>0.71167695074057025</v>
      </c>
      <c r="Q138">
        <f t="shared" si="16"/>
        <v>1</v>
      </c>
      <c r="R138">
        <f t="shared" si="17"/>
        <v>0</v>
      </c>
      <c r="S138">
        <f t="shared" si="18"/>
        <v>0.71167695074057025</v>
      </c>
      <c r="T138">
        <f t="shared" si="19"/>
        <v>-0.34013119140260617</v>
      </c>
    </row>
    <row r="139" spans="1:20" x14ac:dyDescent="0.25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4"/>
        <v>-9.9927688775314771E-2</v>
      </c>
      <c r="P139">
        <f t="shared" si="15"/>
        <v>0.47503884524049772</v>
      </c>
      <c r="Q139">
        <f t="shared" si="16"/>
        <v>0</v>
      </c>
      <c r="R139">
        <f t="shared" si="17"/>
        <v>0</v>
      </c>
      <c r="S139">
        <f t="shared" si="18"/>
        <v>0.52496115475950234</v>
      </c>
      <c r="T139">
        <f t="shared" si="19"/>
        <v>-0.64443101006225878</v>
      </c>
    </row>
    <row r="140" spans="1:20" x14ac:dyDescent="0.25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4"/>
        <v>0.53162336320703152</v>
      </c>
      <c r="P140">
        <f t="shared" si="15"/>
        <v>0.62986165601008071</v>
      </c>
      <c r="Q140">
        <f t="shared" si="16"/>
        <v>1</v>
      </c>
      <c r="R140">
        <f t="shared" si="17"/>
        <v>0</v>
      </c>
      <c r="S140">
        <f t="shared" si="18"/>
        <v>0.62986165601008071</v>
      </c>
      <c r="T140">
        <f t="shared" si="19"/>
        <v>-0.4622550773455637</v>
      </c>
    </row>
    <row r="141" spans="1:20" x14ac:dyDescent="0.25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4"/>
        <v>0.2674355393508141</v>
      </c>
      <c r="P141">
        <f t="shared" si="15"/>
        <v>0.5664632256190747</v>
      </c>
      <c r="Q141">
        <f t="shared" si="16"/>
        <v>1</v>
      </c>
      <c r="R141">
        <f t="shared" si="17"/>
        <v>1</v>
      </c>
      <c r="S141">
        <f t="shared" si="18"/>
        <v>0.4335367743809253</v>
      </c>
      <c r="T141">
        <f t="shared" si="19"/>
        <v>-0.83577865503096671</v>
      </c>
    </row>
    <row r="142" spans="1:20" x14ac:dyDescent="0.25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4"/>
        <v>0.25572286819605927</v>
      </c>
      <c r="P142">
        <f t="shared" si="15"/>
        <v>0.56358458891977981</v>
      </c>
      <c r="Q142">
        <f t="shared" si="16"/>
        <v>1</v>
      </c>
      <c r="R142">
        <f t="shared" si="17"/>
        <v>1</v>
      </c>
      <c r="S142">
        <f t="shared" si="18"/>
        <v>0.43641541108022019</v>
      </c>
      <c r="T142">
        <f t="shared" si="19"/>
        <v>-0.8291607115307551</v>
      </c>
    </row>
    <row r="143" spans="1:20" x14ac:dyDescent="0.25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4"/>
        <v>0.43536651539920235</v>
      </c>
      <c r="P143">
        <f t="shared" si="15"/>
        <v>0.60715441199924958</v>
      </c>
      <c r="Q143">
        <f t="shared" si="16"/>
        <v>1</v>
      </c>
      <c r="R143">
        <f t="shared" si="17"/>
        <v>0</v>
      </c>
      <c r="S143">
        <f t="shared" si="18"/>
        <v>0.60715441199924958</v>
      </c>
      <c r="T143">
        <f t="shared" si="19"/>
        <v>-0.49897213477190933</v>
      </c>
    </row>
    <row r="144" spans="1:20" x14ac:dyDescent="0.25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4"/>
        <v>0.26231886981639563</v>
      </c>
      <c r="P144">
        <f t="shared" si="15"/>
        <v>0.56520623568598805</v>
      </c>
      <c r="Q144">
        <f t="shared" si="16"/>
        <v>1</v>
      </c>
      <c r="R144">
        <f t="shared" si="17"/>
        <v>1</v>
      </c>
      <c r="S144">
        <f t="shared" si="18"/>
        <v>0.43479376431401195</v>
      </c>
      <c r="T144">
        <f t="shared" si="19"/>
        <v>-0.83288346534203539</v>
      </c>
    </row>
    <row r="145" spans="1:20" x14ac:dyDescent="0.25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4"/>
        <v>0.14064365016861757</v>
      </c>
      <c r="P145">
        <f t="shared" si="15"/>
        <v>0.53510306819059184</v>
      </c>
      <c r="Q145">
        <f t="shared" si="16"/>
        <v>1</v>
      </c>
      <c r="R145">
        <f t="shared" si="17"/>
        <v>1</v>
      </c>
      <c r="S145">
        <f t="shared" si="18"/>
        <v>0.46489693180940816</v>
      </c>
      <c r="T145">
        <f t="shared" si="19"/>
        <v>-0.765939549985999</v>
      </c>
    </row>
    <row r="146" spans="1:20" x14ac:dyDescent="0.25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4"/>
        <v>0.61119072454252121</v>
      </c>
      <c r="P146">
        <f t="shared" si="15"/>
        <v>0.64821237457488623</v>
      </c>
      <c r="Q146">
        <f t="shared" si="16"/>
        <v>1</v>
      </c>
      <c r="R146">
        <f t="shared" si="17"/>
        <v>0</v>
      </c>
      <c r="S146">
        <f t="shared" si="18"/>
        <v>0.64821237457488623</v>
      </c>
      <c r="T146">
        <f t="shared" si="19"/>
        <v>-0.43353689778291554</v>
      </c>
    </row>
    <row r="147" spans="1:20" x14ac:dyDescent="0.25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4"/>
        <v>0.97704548588617501</v>
      </c>
      <c r="P147">
        <f t="shared" si="15"/>
        <v>0.72652158295997205</v>
      </c>
      <c r="Q147">
        <f t="shared" si="16"/>
        <v>1</v>
      </c>
      <c r="R147">
        <f t="shared" si="17"/>
        <v>0</v>
      </c>
      <c r="S147">
        <f t="shared" si="18"/>
        <v>0.72652158295997205</v>
      </c>
      <c r="T147">
        <f t="shared" si="19"/>
        <v>-0.31948708827822253</v>
      </c>
    </row>
    <row r="148" spans="1:20" x14ac:dyDescent="0.25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4"/>
        <v>-6.6079333639875948E-2</v>
      </c>
      <c r="P148">
        <f t="shared" si="15"/>
        <v>0.48348617509100156</v>
      </c>
      <c r="Q148">
        <f t="shared" si="16"/>
        <v>0</v>
      </c>
      <c r="R148">
        <f t="shared" si="17"/>
        <v>0</v>
      </c>
      <c r="S148">
        <f t="shared" si="18"/>
        <v>0.51651382490899844</v>
      </c>
      <c r="T148">
        <f t="shared" si="19"/>
        <v>-0.66065322425791451</v>
      </c>
    </row>
    <row r="149" spans="1:20" x14ac:dyDescent="0.25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4"/>
        <v>0.78130016821112336</v>
      </c>
      <c r="P149">
        <f t="shared" si="15"/>
        <v>0.68596026228389217</v>
      </c>
      <c r="Q149">
        <f t="shared" si="16"/>
        <v>1</v>
      </c>
      <c r="R149">
        <f t="shared" si="17"/>
        <v>0</v>
      </c>
      <c r="S149">
        <f t="shared" si="18"/>
        <v>0.68596026228389217</v>
      </c>
      <c r="T149">
        <f t="shared" si="19"/>
        <v>-0.37693557963393354</v>
      </c>
    </row>
    <row r="150" spans="1:20" x14ac:dyDescent="0.25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4"/>
        <v>1.0348376815375893</v>
      </c>
      <c r="P150">
        <f t="shared" si="15"/>
        <v>0.73785270577823792</v>
      </c>
      <c r="Q150">
        <f t="shared" si="16"/>
        <v>1</v>
      </c>
      <c r="R150">
        <f t="shared" si="17"/>
        <v>0</v>
      </c>
      <c r="S150">
        <f t="shared" si="18"/>
        <v>0.73785270577823792</v>
      </c>
      <c r="T150">
        <f t="shared" si="19"/>
        <v>-0.30401105996787847</v>
      </c>
    </row>
    <row r="151" spans="1:20" x14ac:dyDescent="0.25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4"/>
        <v>0.93565022546666787</v>
      </c>
      <c r="P151">
        <f t="shared" si="15"/>
        <v>0.71822018645092067</v>
      </c>
      <c r="Q151">
        <f t="shared" si="16"/>
        <v>1</v>
      </c>
      <c r="R151">
        <f t="shared" si="17"/>
        <v>0</v>
      </c>
      <c r="S151">
        <f t="shared" si="18"/>
        <v>0.71822018645092067</v>
      </c>
      <c r="T151">
        <f t="shared" si="19"/>
        <v>-0.33097909058024699</v>
      </c>
    </row>
    <row r="152" spans="1:20" x14ac:dyDescent="0.25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4"/>
        <v>0.78330508844273727</v>
      </c>
      <c r="P152">
        <f t="shared" si="15"/>
        <v>0.68639199864463096</v>
      </c>
      <c r="Q152">
        <f t="shared" si="16"/>
        <v>1</v>
      </c>
      <c r="R152">
        <f t="shared" si="17"/>
        <v>0</v>
      </c>
      <c r="S152">
        <f t="shared" si="18"/>
        <v>0.68639199864463096</v>
      </c>
      <c r="T152">
        <f t="shared" si="19"/>
        <v>-0.37630638786258797</v>
      </c>
    </row>
    <row r="153" spans="1:20" x14ac:dyDescent="0.25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4"/>
        <v>0.17360519759846194</v>
      </c>
      <c r="P153">
        <f t="shared" si="15"/>
        <v>0.54329262179977933</v>
      </c>
      <c r="Q153">
        <f t="shared" si="16"/>
        <v>1</v>
      </c>
      <c r="R153">
        <f t="shared" si="17"/>
        <v>1</v>
      </c>
      <c r="S153">
        <f t="shared" si="18"/>
        <v>0.45670737820022067</v>
      </c>
      <c r="T153">
        <f t="shared" si="19"/>
        <v>-0.78371240345809379</v>
      </c>
    </row>
    <row r="154" spans="1:20" x14ac:dyDescent="0.25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4"/>
        <v>-4.8973074680474737E-2</v>
      </c>
      <c r="P154">
        <f t="shared" si="15"/>
        <v>0.48775917772572103</v>
      </c>
      <c r="Q154">
        <f t="shared" si="16"/>
        <v>0</v>
      </c>
      <c r="R154">
        <f t="shared" si="17"/>
        <v>0</v>
      </c>
      <c r="S154">
        <f t="shared" si="18"/>
        <v>0.51224082227427892</v>
      </c>
      <c r="T154">
        <f t="shared" si="19"/>
        <v>-0.66896040852088956</v>
      </c>
    </row>
    <row r="155" spans="1:20" x14ac:dyDescent="0.25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4"/>
        <v>0.2052652256789802</v>
      </c>
      <c r="P155">
        <f t="shared" si="15"/>
        <v>0.55113688305654895</v>
      </c>
      <c r="Q155">
        <f t="shared" si="16"/>
        <v>1</v>
      </c>
      <c r="R155">
        <f t="shared" si="17"/>
        <v>1</v>
      </c>
      <c r="S155">
        <f t="shared" si="18"/>
        <v>0.44886311694345105</v>
      </c>
      <c r="T155">
        <f t="shared" si="19"/>
        <v>-0.80103729976107341</v>
      </c>
    </row>
    <row r="156" spans="1:20" x14ac:dyDescent="0.25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4"/>
        <v>0.1413146699678518</v>
      </c>
      <c r="P156">
        <f t="shared" si="15"/>
        <v>0.53526999235462458</v>
      </c>
      <c r="Q156">
        <f t="shared" si="16"/>
        <v>1</v>
      </c>
      <c r="R156">
        <f t="shared" si="17"/>
        <v>0</v>
      </c>
      <c r="S156">
        <f t="shared" si="18"/>
        <v>0.53526999235462458</v>
      </c>
      <c r="T156">
        <f t="shared" si="19"/>
        <v>-0.62498400077668426</v>
      </c>
    </row>
    <row r="157" spans="1:20" x14ac:dyDescent="0.25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4"/>
        <v>0.97923413022207551</v>
      </c>
      <c r="P157">
        <f t="shared" si="15"/>
        <v>0.72695622460745235</v>
      </c>
      <c r="Q157">
        <f t="shared" si="16"/>
        <v>1</v>
      </c>
      <c r="R157">
        <f t="shared" si="17"/>
        <v>0</v>
      </c>
      <c r="S157">
        <f t="shared" si="18"/>
        <v>0.72695622460745235</v>
      </c>
      <c r="T157">
        <f t="shared" si="19"/>
        <v>-0.31888901700644534</v>
      </c>
    </row>
    <row r="158" spans="1:20" x14ac:dyDescent="0.25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4"/>
        <v>0.27111474221533749</v>
      </c>
      <c r="P158">
        <f t="shared" si="15"/>
        <v>0.56736655205938324</v>
      </c>
      <c r="Q158">
        <f t="shared" si="16"/>
        <v>1</v>
      </c>
      <c r="R158">
        <f t="shared" si="17"/>
        <v>1</v>
      </c>
      <c r="S158">
        <f t="shared" si="18"/>
        <v>0.43263344794061676</v>
      </c>
      <c r="T158">
        <f t="shared" si="19"/>
        <v>-0.83786445005029664</v>
      </c>
    </row>
    <row r="159" spans="1:20" x14ac:dyDescent="0.25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4"/>
        <v>-1.8725528012023929E-2</v>
      </c>
      <c r="P159">
        <f t="shared" si="15"/>
        <v>0.49531875478428605</v>
      </c>
      <c r="Q159">
        <f t="shared" si="16"/>
        <v>0</v>
      </c>
      <c r="R159">
        <f t="shared" si="17"/>
        <v>0</v>
      </c>
      <c r="S159">
        <f t="shared" si="18"/>
        <v>0.50468124521571389</v>
      </c>
      <c r="T159">
        <f t="shared" si="19"/>
        <v>-0.6838282465884884</v>
      </c>
    </row>
    <row r="160" spans="1:20" x14ac:dyDescent="0.25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4"/>
        <v>0.44848913389713951</v>
      </c>
      <c r="P160">
        <f t="shared" si="15"/>
        <v>0.61027995200643248</v>
      </c>
      <c r="Q160">
        <f t="shared" si="16"/>
        <v>1</v>
      </c>
      <c r="R160">
        <f t="shared" si="17"/>
        <v>1</v>
      </c>
      <c r="S160">
        <f t="shared" si="18"/>
        <v>0.38972004799356752</v>
      </c>
      <c r="T160">
        <f t="shared" si="19"/>
        <v>-0.94232662327616001</v>
      </c>
    </row>
    <row r="161" spans="1:20" x14ac:dyDescent="0.25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4"/>
        <v>0.43202733441816177</v>
      </c>
      <c r="P161">
        <f t="shared" si="15"/>
        <v>0.60635767311790079</v>
      </c>
      <c r="Q161">
        <f t="shared" si="16"/>
        <v>1</v>
      </c>
      <c r="R161">
        <f t="shared" si="17"/>
        <v>0</v>
      </c>
      <c r="S161">
        <f t="shared" si="18"/>
        <v>0.60635767311790079</v>
      </c>
      <c r="T161">
        <f t="shared" si="19"/>
        <v>-0.50028524735744118</v>
      </c>
    </row>
    <row r="162" spans="1:20" x14ac:dyDescent="0.25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4"/>
        <v>1.1646316960862824</v>
      </c>
      <c r="P162">
        <f t="shared" si="15"/>
        <v>0.76217329920533028</v>
      </c>
      <c r="Q162">
        <f t="shared" si="16"/>
        <v>1</v>
      </c>
      <c r="R162">
        <f t="shared" si="17"/>
        <v>0</v>
      </c>
      <c r="S162">
        <f t="shared" si="18"/>
        <v>0.76217329920533028</v>
      </c>
      <c r="T162">
        <f t="shared" si="19"/>
        <v>-0.27158132237439153</v>
      </c>
    </row>
    <row r="163" spans="1:20" x14ac:dyDescent="0.25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4"/>
        <v>0.40311228550513123</v>
      </c>
      <c r="P163">
        <f t="shared" si="15"/>
        <v>0.59943518994604095</v>
      </c>
      <c r="Q163">
        <f t="shared" si="16"/>
        <v>1</v>
      </c>
      <c r="R163">
        <f t="shared" si="17"/>
        <v>0</v>
      </c>
      <c r="S163">
        <f t="shared" si="18"/>
        <v>0.59943518994604095</v>
      </c>
      <c r="T163">
        <f t="shared" si="19"/>
        <v>-0.51176741720417074</v>
      </c>
    </row>
    <row r="164" spans="1:20" x14ac:dyDescent="0.25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4"/>
        <v>0.7323986454650977</v>
      </c>
      <c r="P164">
        <f t="shared" si="15"/>
        <v>0.67533141795612939</v>
      </c>
      <c r="Q164">
        <f t="shared" si="16"/>
        <v>1</v>
      </c>
      <c r="R164">
        <f t="shared" si="17"/>
        <v>0</v>
      </c>
      <c r="S164">
        <f t="shared" si="18"/>
        <v>0.67533141795612939</v>
      </c>
      <c r="T164">
        <f t="shared" si="19"/>
        <v>-0.39255171904090752</v>
      </c>
    </row>
    <row r="165" spans="1:20" x14ac:dyDescent="0.25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4"/>
        <v>0.79529902508070238</v>
      </c>
      <c r="P165">
        <f t="shared" si="15"/>
        <v>0.68896800000947533</v>
      </c>
      <c r="Q165">
        <f t="shared" si="16"/>
        <v>1</v>
      </c>
      <c r="R165">
        <f t="shared" si="17"/>
        <v>0</v>
      </c>
      <c r="S165">
        <f t="shared" si="18"/>
        <v>0.68896800000947533</v>
      </c>
      <c r="T165">
        <f t="shared" si="19"/>
        <v>-0.37256045315520298</v>
      </c>
    </row>
    <row r="166" spans="1:20" x14ac:dyDescent="0.25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4"/>
        <v>0.54062324228443481</v>
      </c>
      <c r="P166">
        <f t="shared" si="15"/>
        <v>0.63195738786160083</v>
      </c>
      <c r="Q166">
        <f t="shared" si="16"/>
        <v>1</v>
      </c>
      <c r="R166">
        <f t="shared" si="17"/>
        <v>1</v>
      </c>
      <c r="S166">
        <f t="shared" si="18"/>
        <v>0.36804261213839917</v>
      </c>
      <c r="T166">
        <f t="shared" si="19"/>
        <v>-0.99955655366245144</v>
      </c>
    </row>
    <row r="167" spans="1:20" x14ac:dyDescent="0.25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4"/>
        <v>0.2945929988939</v>
      </c>
      <c r="P167">
        <f t="shared" si="15"/>
        <v>0.5731202014253286</v>
      </c>
      <c r="Q167">
        <f t="shared" si="16"/>
        <v>1</v>
      </c>
      <c r="R167">
        <f t="shared" si="17"/>
        <v>1</v>
      </c>
      <c r="S167">
        <f t="shared" si="18"/>
        <v>0.4268797985746714</v>
      </c>
      <c r="T167">
        <f t="shared" si="19"/>
        <v>-0.85125280754973076</v>
      </c>
    </row>
    <row r="168" spans="1:20" x14ac:dyDescent="0.25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4"/>
        <v>0.19414863118229952</v>
      </c>
      <c r="P168">
        <f t="shared" si="15"/>
        <v>0.54838526824538147</v>
      </c>
      <c r="Q168">
        <f t="shared" si="16"/>
        <v>1</v>
      </c>
      <c r="R168">
        <f t="shared" si="17"/>
        <v>1</v>
      </c>
      <c r="S168">
        <f t="shared" si="18"/>
        <v>0.45161473175461853</v>
      </c>
      <c r="T168">
        <f t="shared" si="19"/>
        <v>-0.79492582599285766</v>
      </c>
    </row>
    <row r="169" spans="1:20" x14ac:dyDescent="0.25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4"/>
        <v>9.2893254626622124E-2</v>
      </c>
      <c r="P169">
        <f t="shared" si="15"/>
        <v>0.52320662825344388</v>
      </c>
      <c r="Q169">
        <f t="shared" si="16"/>
        <v>1</v>
      </c>
      <c r="R169">
        <f t="shared" si="17"/>
        <v>1</v>
      </c>
      <c r="S169">
        <f t="shared" si="18"/>
        <v>0.47679337174655612</v>
      </c>
      <c r="T169">
        <f t="shared" si="19"/>
        <v>-0.74067206486588755</v>
      </c>
    </row>
    <row r="170" spans="1:20" x14ac:dyDescent="0.25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4"/>
        <v>0.3521966170895483</v>
      </c>
      <c r="P170">
        <f t="shared" si="15"/>
        <v>0.58715015129503156</v>
      </c>
      <c r="Q170">
        <f t="shared" si="16"/>
        <v>1</v>
      </c>
      <c r="R170">
        <f t="shared" si="17"/>
        <v>1</v>
      </c>
      <c r="S170">
        <f t="shared" si="18"/>
        <v>0.41284984870496844</v>
      </c>
      <c r="T170">
        <f t="shared" si="19"/>
        <v>-0.88467131458366077</v>
      </c>
    </row>
    <row r="171" spans="1:20" x14ac:dyDescent="0.25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4"/>
        <v>1.2924300715533625</v>
      </c>
      <c r="P171">
        <f t="shared" si="15"/>
        <v>0.78455821998138042</v>
      </c>
      <c r="Q171">
        <f t="shared" si="16"/>
        <v>1</v>
      </c>
      <c r="R171">
        <f t="shared" si="17"/>
        <v>0</v>
      </c>
      <c r="S171">
        <f t="shared" si="18"/>
        <v>0.78455821998138042</v>
      </c>
      <c r="T171">
        <f t="shared" si="19"/>
        <v>-0.24263449671197915</v>
      </c>
    </row>
    <row r="172" spans="1:20" x14ac:dyDescent="0.25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4"/>
        <v>0.96438487097602121</v>
      </c>
      <c r="P172">
        <f t="shared" si="15"/>
        <v>0.72399886985546114</v>
      </c>
      <c r="Q172">
        <f t="shared" si="16"/>
        <v>1</v>
      </c>
      <c r="R172">
        <f t="shared" si="17"/>
        <v>1</v>
      </c>
      <c r="S172">
        <f t="shared" si="18"/>
        <v>0.27600113014453886</v>
      </c>
      <c r="T172">
        <f t="shared" si="19"/>
        <v>-1.2873503185467803</v>
      </c>
    </row>
    <row r="173" spans="1:20" x14ac:dyDescent="0.25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4"/>
        <v>0.89112313825587552</v>
      </c>
      <c r="P173">
        <f t="shared" si="15"/>
        <v>0.70912189448604079</v>
      </c>
      <c r="Q173">
        <f t="shared" si="16"/>
        <v>1</v>
      </c>
      <c r="R173">
        <f t="shared" si="17"/>
        <v>0</v>
      </c>
      <c r="S173">
        <f t="shared" si="18"/>
        <v>0.70912189448604079</v>
      </c>
      <c r="T173">
        <f t="shared" si="19"/>
        <v>-0.34372784270541717</v>
      </c>
    </row>
    <row r="174" spans="1:20" x14ac:dyDescent="0.25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4"/>
        <v>-0.1026438022444105</v>
      </c>
      <c r="P174">
        <f t="shared" si="15"/>
        <v>0.47436155550765019</v>
      </c>
      <c r="Q174">
        <f t="shared" si="16"/>
        <v>0</v>
      </c>
      <c r="R174">
        <f t="shared" si="17"/>
        <v>0</v>
      </c>
      <c r="S174">
        <f t="shared" si="18"/>
        <v>0.52563844449234987</v>
      </c>
      <c r="T174">
        <f t="shared" si="19"/>
        <v>-0.6431416704753089</v>
      </c>
    </row>
    <row r="175" spans="1:20" x14ac:dyDescent="0.25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4"/>
        <v>0.97421249819712918</v>
      </c>
      <c r="P175">
        <f t="shared" si="15"/>
        <v>0.72595834130608161</v>
      </c>
      <c r="Q175">
        <f t="shared" si="16"/>
        <v>1</v>
      </c>
      <c r="R175">
        <f t="shared" si="17"/>
        <v>0</v>
      </c>
      <c r="S175">
        <f t="shared" si="18"/>
        <v>0.72595834130608161</v>
      </c>
      <c r="T175">
        <f t="shared" si="19"/>
        <v>-0.32026264692480017</v>
      </c>
    </row>
    <row r="176" spans="1:20" x14ac:dyDescent="0.25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4"/>
        <v>0.18447160244772298</v>
      </c>
      <c r="P176">
        <f t="shared" si="15"/>
        <v>0.54598756232817847</v>
      </c>
      <c r="Q176">
        <f t="shared" si="16"/>
        <v>1</v>
      </c>
      <c r="R176">
        <f t="shared" si="17"/>
        <v>1</v>
      </c>
      <c r="S176">
        <f t="shared" si="18"/>
        <v>0.45401243767182153</v>
      </c>
      <c r="T176">
        <f t="shared" si="19"/>
        <v>-0.78963068556313498</v>
      </c>
    </row>
    <row r="177" spans="1:20" x14ac:dyDescent="0.25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4"/>
        <v>0.67273256796283643</v>
      </c>
      <c r="P177">
        <f t="shared" si="15"/>
        <v>0.66211475659479169</v>
      </c>
      <c r="Q177">
        <f t="shared" si="16"/>
        <v>1</v>
      </c>
      <c r="R177">
        <f t="shared" si="17"/>
        <v>0</v>
      </c>
      <c r="S177">
        <f t="shared" si="18"/>
        <v>0.66211475659479169</v>
      </c>
      <c r="T177">
        <f t="shared" si="19"/>
        <v>-0.41231638973771351</v>
      </c>
    </row>
    <row r="178" spans="1:20" x14ac:dyDescent="0.25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4"/>
        <v>0.3489415264538871</v>
      </c>
      <c r="P178">
        <f t="shared" si="15"/>
        <v>0.58636087832873396</v>
      </c>
      <c r="Q178">
        <f t="shared" si="16"/>
        <v>1</v>
      </c>
      <c r="R178">
        <f t="shared" si="17"/>
        <v>1</v>
      </c>
      <c r="S178">
        <f t="shared" si="18"/>
        <v>0.41363912167126604</v>
      </c>
      <c r="T178">
        <f t="shared" si="19"/>
        <v>-0.88276137208105387</v>
      </c>
    </row>
    <row r="179" spans="1:20" x14ac:dyDescent="0.25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4"/>
        <v>1.1275820617374592</v>
      </c>
      <c r="P179">
        <f t="shared" si="15"/>
        <v>0.75539240116621076</v>
      </c>
      <c r="Q179">
        <f t="shared" si="16"/>
        <v>1</v>
      </c>
      <c r="R179">
        <f t="shared" si="17"/>
        <v>0</v>
      </c>
      <c r="S179">
        <f t="shared" si="18"/>
        <v>0.75539240116621076</v>
      </c>
      <c r="T179">
        <f t="shared" si="19"/>
        <v>-0.28051792810543424</v>
      </c>
    </row>
    <row r="180" spans="1:20" x14ac:dyDescent="0.25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4"/>
        <v>0.8906314185996671</v>
      </c>
      <c r="P180">
        <f t="shared" si="15"/>
        <v>0.70902045801104352</v>
      </c>
      <c r="Q180">
        <f t="shared" si="16"/>
        <v>1</v>
      </c>
      <c r="R180">
        <f t="shared" si="17"/>
        <v>0</v>
      </c>
      <c r="S180">
        <f t="shared" si="18"/>
        <v>0.70902045801104352</v>
      </c>
      <c r="T180">
        <f t="shared" si="19"/>
        <v>-0.34387089812575866</v>
      </c>
    </row>
    <row r="181" spans="1:20" x14ac:dyDescent="0.25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4"/>
        <v>-3.3417065460110584E-2</v>
      </c>
      <c r="P181">
        <f t="shared" si="15"/>
        <v>0.49164651098245399</v>
      </c>
      <c r="Q181">
        <f t="shared" si="16"/>
        <v>0</v>
      </c>
      <c r="R181">
        <f t="shared" si="17"/>
        <v>0</v>
      </c>
      <c r="S181">
        <f t="shared" si="18"/>
        <v>0.50835348901754607</v>
      </c>
      <c r="T181">
        <f t="shared" si="19"/>
        <v>-0.67657822886847596</v>
      </c>
    </row>
    <row r="182" spans="1:20" x14ac:dyDescent="0.25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4"/>
        <v>0.47740257087255178</v>
      </c>
      <c r="P182">
        <f t="shared" si="15"/>
        <v>0.61713434240572029</v>
      </c>
      <c r="Q182">
        <f t="shared" si="16"/>
        <v>1</v>
      </c>
      <c r="R182">
        <f t="shared" si="17"/>
        <v>1</v>
      </c>
      <c r="S182">
        <f t="shared" si="18"/>
        <v>0.38286565759427971</v>
      </c>
      <c r="T182">
        <f t="shared" si="19"/>
        <v>-0.9600711147947939</v>
      </c>
    </row>
    <row r="183" spans="1:20" x14ac:dyDescent="0.25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4"/>
        <v>0.53485402156487472</v>
      </c>
      <c r="P183">
        <f t="shared" si="15"/>
        <v>0.63061452210518998</v>
      </c>
      <c r="Q183">
        <f t="shared" si="16"/>
        <v>1</v>
      </c>
      <c r="R183">
        <f t="shared" si="17"/>
        <v>1</v>
      </c>
      <c r="S183">
        <f t="shared" si="18"/>
        <v>0.36938547789481002</v>
      </c>
      <c r="T183">
        <f t="shared" si="19"/>
        <v>-0.99591452467300434</v>
      </c>
    </row>
    <row r="184" spans="1:20" x14ac:dyDescent="0.25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4"/>
        <v>0.75854878152106919</v>
      </c>
      <c r="P184">
        <f t="shared" si="15"/>
        <v>0.68103857566113191</v>
      </c>
      <c r="Q184">
        <f t="shared" si="16"/>
        <v>1</v>
      </c>
      <c r="R184">
        <f t="shared" si="17"/>
        <v>0</v>
      </c>
      <c r="S184">
        <f t="shared" si="18"/>
        <v>0.68103857566113191</v>
      </c>
      <c r="T184">
        <f t="shared" si="19"/>
        <v>-0.38413632882586668</v>
      </c>
    </row>
    <row r="185" spans="1:20" x14ac:dyDescent="0.25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4"/>
        <v>0.65281510731843007</v>
      </c>
      <c r="P185">
        <f t="shared" si="15"/>
        <v>0.65764455998349558</v>
      </c>
      <c r="Q185">
        <f t="shared" si="16"/>
        <v>1</v>
      </c>
      <c r="R185">
        <f t="shared" si="17"/>
        <v>0</v>
      </c>
      <c r="S185">
        <f t="shared" si="18"/>
        <v>0.65764455998349558</v>
      </c>
      <c r="T185">
        <f t="shared" si="19"/>
        <v>-0.41909067600379613</v>
      </c>
    </row>
    <row r="186" spans="1:20" x14ac:dyDescent="0.25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4"/>
        <v>1.1713123832204539</v>
      </c>
      <c r="P186">
        <f t="shared" si="15"/>
        <v>0.76338215323428238</v>
      </c>
      <c r="Q186">
        <f t="shared" si="16"/>
        <v>1</v>
      </c>
      <c r="R186">
        <f t="shared" si="17"/>
        <v>0</v>
      </c>
      <c r="S186">
        <f t="shared" si="18"/>
        <v>0.76338215323428238</v>
      </c>
      <c r="T186">
        <f t="shared" si="19"/>
        <v>-0.26999651694495547</v>
      </c>
    </row>
    <row r="187" spans="1:20" x14ac:dyDescent="0.25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4"/>
        <v>9.1930320973008905E-2</v>
      </c>
      <c r="P187">
        <f t="shared" si="15"/>
        <v>0.52296640807613903</v>
      </c>
      <c r="Q187">
        <f t="shared" si="16"/>
        <v>1</v>
      </c>
      <c r="R187">
        <f t="shared" si="17"/>
        <v>1</v>
      </c>
      <c r="S187">
        <f t="shared" si="18"/>
        <v>0.47703359192386097</v>
      </c>
      <c r="T187">
        <f t="shared" si="19"/>
        <v>-0.74016836725293822</v>
      </c>
    </row>
    <row r="188" spans="1:20" x14ac:dyDescent="0.25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4"/>
        <v>0.30117736701209363</v>
      </c>
      <c r="P188">
        <f t="shared" si="15"/>
        <v>0.57473030870657571</v>
      </c>
      <c r="Q188">
        <f t="shared" si="16"/>
        <v>1</v>
      </c>
      <c r="R188">
        <f t="shared" si="17"/>
        <v>1</v>
      </c>
      <c r="S188">
        <f t="shared" si="18"/>
        <v>0.42526969129342429</v>
      </c>
      <c r="T188">
        <f t="shared" si="19"/>
        <v>-0.85503174356146616</v>
      </c>
    </row>
    <row r="189" spans="1:20" x14ac:dyDescent="0.25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4"/>
        <v>0.37746615709740206</v>
      </c>
      <c r="P189">
        <f t="shared" si="15"/>
        <v>0.59326182576503372</v>
      </c>
      <c r="Q189">
        <f t="shared" si="16"/>
        <v>1</v>
      </c>
      <c r="R189">
        <f t="shared" si="17"/>
        <v>1</v>
      </c>
      <c r="S189">
        <f t="shared" si="18"/>
        <v>0.40673817423496628</v>
      </c>
      <c r="T189">
        <f t="shared" si="19"/>
        <v>-0.89958560709797941</v>
      </c>
    </row>
    <row r="190" spans="1:20" x14ac:dyDescent="0.25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4"/>
        <v>0.90434827212616908</v>
      </c>
      <c r="P190">
        <f t="shared" si="15"/>
        <v>0.71184225358673858</v>
      </c>
      <c r="Q190">
        <f t="shared" si="16"/>
        <v>1</v>
      </c>
      <c r="R190">
        <f t="shared" si="17"/>
        <v>0</v>
      </c>
      <c r="S190">
        <f t="shared" si="18"/>
        <v>0.71184225358673858</v>
      </c>
      <c r="T190">
        <f t="shared" si="19"/>
        <v>-0.33989894606807347</v>
      </c>
    </row>
    <row r="191" spans="1:20" x14ac:dyDescent="0.25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4"/>
        <v>9.5723321481523405E-2</v>
      </c>
      <c r="P191">
        <f t="shared" si="15"/>
        <v>0.52391257400638314</v>
      </c>
      <c r="Q191">
        <f t="shared" si="16"/>
        <v>1</v>
      </c>
      <c r="R191">
        <f t="shared" si="17"/>
        <v>1</v>
      </c>
      <c r="S191">
        <f t="shared" si="18"/>
        <v>0.47608742599361686</v>
      </c>
      <c r="T191">
        <f t="shared" si="19"/>
        <v>-0.74215377356181211</v>
      </c>
    </row>
    <row r="192" spans="1:20" x14ac:dyDescent="0.25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4"/>
        <v>0.81902950109780859</v>
      </c>
      <c r="P192">
        <f t="shared" si="15"/>
        <v>0.69403029130279137</v>
      </c>
      <c r="Q192">
        <f t="shared" si="16"/>
        <v>1</v>
      </c>
      <c r="R192">
        <f t="shared" si="17"/>
        <v>0</v>
      </c>
      <c r="S192">
        <f t="shared" si="18"/>
        <v>0.69403029130279137</v>
      </c>
      <c r="T192">
        <f t="shared" si="19"/>
        <v>-0.36523967201749086</v>
      </c>
    </row>
    <row r="193" spans="1:20" x14ac:dyDescent="0.25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4"/>
        <v>0.34387968621171949</v>
      </c>
      <c r="P193">
        <f t="shared" si="15"/>
        <v>0.58513263619434908</v>
      </c>
      <c r="Q193">
        <f t="shared" si="16"/>
        <v>1</v>
      </c>
      <c r="R193">
        <f t="shared" si="17"/>
        <v>1</v>
      </c>
      <c r="S193">
        <f t="shared" si="18"/>
        <v>0.41486736380565092</v>
      </c>
      <c r="T193">
        <f t="shared" si="19"/>
        <v>-0.87979641512368167</v>
      </c>
    </row>
    <row r="194" spans="1:20" x14ac:dyDescent="0.25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4"/>
        <v>0.52499023940867606</v>
      </c>
      <c r="P194">
        <f t="shared" si="15"/>
        <v>0.62831390885324767</v>
      </c>
      <c r="Q194">
        <f t="shared" si="16"/>
        <v>1</v>
      </c>
      <c r="R194">
        <f t="shared" si="17"/>
        <v>1</v>
      </c>
      <c r="S194">
        <f t="shared" si="18"/>
        <v>0.37168609114675233</v>
      </c>
      <c r="T194">
        <f t="shared" si="19"/>
        <v>-0.9897056219465814</v>
      </c>
    </row>
    <row r="195" spans="1:20" x14ac:dyDescent="0.25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4"/>
        <v>0.10094090262948807</v>
      </c>
      <c r="P195">
        <f t="shared" si="15"/>
        <v>0.52521382051900234</v>
      </c>
      <c r="Q195">
        <f t="shared" si="16"/>
        <v>1</v>
      </c>
      <c r="R195">
        <f t="shared" si="17"/>
        <v>1</v>
      </c>
      <c r="S195">
        <f t="shared" si="18"/>
        <v>0.47478617948099766</v>
      </c>
      <c r="T195">
        <f t="shared" si="19"/>
        <v>-0.74489072475578721</v>
      </c>
    </row>
    <row r="196" spans="1:20" x14ac:dyDescent="0.25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4"/>
        <v>0.41501645878692606</v>
      </c>
      <c r="P196">
        <f t="shared" si="15"/>
        <v>0.60229011937929244</v>
      </c>
      <c r="Q196">
        <f t="shared" si="16"/>
        <v>1</v>
      </c>
      <c r="R196">
        <f t="shared" si="17"/>
        <v>1</v>
      </c>
      <c r="S196">
        <f t="shared" si="18"/>
        <v>0.39770988062070756</v>
      </c>
      <c r="T196">
        <f t="shared" si="19"/>
        <v>-0.92203248266999949</v>
      </c>
    </row>
    <row r="197" spans="1:20" x14ac:dyDescent="0.25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4"/>
        <v>-3.5521141088823205E-2</v>
      </c>
      <c r="P197">
        <f t="shared" si="15"/>
        <v>0.49112064833607505</v>
      </c>
      <c r="Q197">
        <f t="shared" si="16"/>
        <v>0</v>
      </c>
      <c r="R197">
        <f t="shared" si="17"/>
        <v>0</v>
      </c>
      <c r="S197">
        <f t="shared" si="18"/>
        <v>0.50887935166392495</v>
      </c>
      <c r="T197">
        <f t="shared" si="19"/>
        <v>-0.6755443206575088</v>
      </c>
    </row>
    <row r="198" spans="1:20" x14ac:dyDescent="0.25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ref="O198:O219" si="20">SUMPRODUCT(A$4:M$4, A198:M198)+N$4</f>
        <v>-2.5292091012921847E-2</v>
      </c>
      <c r="P198">
        <f t="shared" ref="P198:P219" si="21">1/(1+EXP(0-O198))</f>
        <v>0.49367731428967504</v>
      </c>
      <c r="Q198">
        <f t="shared" ref="Q198:Q219" si="22">IF(P198&lt;=0.5, 0, 1)</f>
        <v>0</v>
      </c>
      <c r="R198">
        <f t="shared" ref="R198:R219" si="23">IF(N198=Q198, 0, 1)</f>
        <v>0</v>
      </c>
      <c r="S198">
        <f t="shared" ref="S198:S219" si="24">IF(N198=1, P198, 1-P198)</f>
        <v>0.5063226857103249</v>
      </c>
      <c r="T198">
        <f t="shared" ref="T198:T219" si="25">IF(S198=0, -100000, LN(S198))</f>
        <v>-0.68058109415578483</v>
      </c>
    </row>
    <row r="199" spans="1:20" x14ac:dyDescent="0.25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si="20"/>
        <v>-0.1255303540146222</v>
      </c>
      <c r="P199">
        <f t="shared" si="21"/>
        <v>0.46865855688976615</v>
      </c>
      <c r="Q199">
        <f t="shared" si="22"/>
        <v>0</v>
      </c>
      <c r="R199">
        <f t="shared" si="23"/>
        <v>0</v>
      </c>
      <c r="S199">
        <f t="shared" si="24"/>
        <v>0.5313414431102339</v>
      </c>
      <c r="T199">
        <f t="shared" si="25"/>
        <v>-0.63235044534837159</v>
      </c>
    </row>
    <row r="200" spans="1:20" x14ac:dyDescent="0.25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20"/>
        <v>0.6026227396064554</v>
      </c>
      <c r="P200">
        <f t="shared" si="21"/>
        <v>0.64625611823142293</v>
      </c>
      <c r="Q200">
        <f t="shared" si="22"/>
        <v>1</v>
      </c>
      <c r="R200">
        <f t="shared" si="23"/>
        <v>0</v>
      </c>
      <c r="S200">
        <f t="shared" si="24"/>
        <v>0.64625611823142293</v>
      </c>
      <c r="T200">
        <f t="shared" si="25"/>
        <v>-0.43655938592164656</v>
      </c>
    </row>
    <row r="201" spans="1:20" x14ac:dyDescent="0.25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20"/>
        <v>-0.17697483093922228</v>
      </c>
      <c r="P201">
        <f t="shared" si="21"/>
        <v>0.45587140814656085</v>
      </c>
      <c r="Q201">
        <f t="shared" si="22"/>
        <v>0</v>
      </c>
      <c r="R201">
        <f t="shared" si="23"/>
        <v>0</v>
      </c>
      <c r="S201">
        <f t="shared" si="24"/>
        <v>0.54412859185343909</v>
      </c>
      <c r="T201">
        <f t="shared" si="25"/>
        <v>-0.6085696779765094</v>
      </c>
    </row>
    <row r="202" spans="1:20" x14ac:dyDescent="0.25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20"/>
        <v>0.21617524838811297</v>
      </c>
      <c r="P202">
        <f t="shared" si="21"/>
        <v>0.55383432756121487</v>
      </c>
      <c r="Q202">
        <f t="shared" si="22"/>
        <v>1</v>
      </c>
      <c r="R202">
        <f t="shared" si="23"/>
        <v>1</v>
      </c>
      <c r="S202">
        <f t="shared" si="24"/>
        <v>0.44616567243878513</v>
      </c>
      <c r="T202">
        <f t="shared" si="25"/>
        <v>-0.80706493307009197</v>
      </c>
    </row>
    <row r="203" spans="1:20" x14ac:dyDescent="0.25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20"/>
        <v>-1.7454048631195263E-3</v>
      </c>
      <c r="P203">
        <f t="shared" si="21"/>
        <v>0.49956364889499655</v>
      </c>
      <c r="Q203">
        <f t="shared" si="22"/>
        <v>0</v>
      </c>
      <c r="R203">
        <f t="shared" si="23"/>
        <v>0</v>
      </c>
      <c r="S203">
        <f t="shared" si="24"/>
        <v>0.5004363511050034</v>
      </c>
      <c r="T203">
        <f t="shared" si="25"/>
        <v>-0.69227485893310448</v>
      </c>
    </row>
    <row r="204" spans="1:20" x14ac:dyDescent="0.25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20"/>
        <v>-7.5257157612885761E-3</v>
      </c>
      <c r="P204">
        <f t="shared" si="21"/>
        <v>0.49811857993940745</v>
      </c>
      <c r="Q204">
        <f t="shared" si="22"/>
        <v>0</v>
      </c>
      <c r="R204">
        <f t="shared" si="23"/>
        <v>0</v>
      </c>
      <c r="S204">
        <f t="shared" si="24"/>
        <v>0.50188142006059255</v>
      </c>
      <c r="T204">
        <f t="shared" si="25"/>
        <v>-0.68939140221230955</v>
      </c>
    </row>
    <row r="205" spans="1:20" x14ac:dyDescent="0.25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20"/>
        <v>0.42991714114581892</v>
      </c>
      <c r="P205">
        <f t="shared" si="21"/>
        <v>0.60585388232890958</v>
      </c>
      <c r="Q205">
        <f t="shared" si="22"/>
        <v>1</v>
      </c>
      <c r="R205">
        <f t="shared" si="23"/>
        <v>0</v>
      </c>
      <c r="S205">
        <f t="shared" si="24"/>
        <v>0.60585388232890958</v>
      </c>
      <c r="T205">
        <f t="shared" si="25"/>
        <v>-0.50111644025563218</v>
      </c>
    </row>
    <row r="206" spans="1:20" x14ac:dyDescent="0.25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20"/>
        <v>0.93292477554559583</v>
      </c>
      <c r="P206">
        <f t="shared" si="21"/>
        <v>0.7176682821290884</v>
      </c>
      <c r="Q206">
        <f t="shared" si="22"/>
        <v>1</v>
      </c>
      <c r="R206">
        <f t="shared" si="23"/>
        <v>1</v>
      </c>
      <c r="S206">
        <f t="shared" si="24"/>
        <v>0.2823317178709116</v>
      </c>
      <c r="T206">
        <f t="shared" si="25"/>
        <v>-1.2646725948413213</v>
      </c>
    </row>
    <row r="207" spans="1:20" x14ac:dyDescent="0.25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20"/>
        <v>3.7533010119050525E-2</v>
      </c>
      <c r="P207">
        <f t="shared" si="21"/>
        <v>0.50938215114826979</v>
      </c>
      <c r="Q207">
        <f t="shared" si="22"/>
        <v>1</v>
      </c>
      <c r="R207">
        <f t="shared" si="23"/>
        <v>1</v>
      </c>
      <c r="S207">
        <f t="shared" si="24"/>
        <v>0.49061784885173021</v>
      </c>
      <c r="T207">
        <f t="shared" si="25"/>
        <v>-0.71208976614051922</v>
      </c>
    </row>
    <row r="208" spans="1:20" x14ac:dyDescent="0.25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20"/>
        <v>0.22557357552935775</v>
      </c>
      <c r="P208">
        <f t="shared" si="21"/>
        <v>0.55615548024874994</v>
      </c>
      <c r="Q208">
        <f t="shared" si="22"/>
        <v>1</v>
      </c>
      <c r="R208">
        <f t="shared" si="23"/>
        <v>0</v>
      </c>
      <c r="S208">
        <f t="shared" si="24"/>
        <v>0.55615548024874994</v>
      </c>
      <c r="T208">
        <f t="shared" si="25"/>
        <v>-0.58670738308857562</v>
      </c>
    </row>
    <row r="209" spans="1:20" x14ac:dyDescent="0.25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20"/>
        <v>-0.16567372862433505</v>
      </c>
      <c r="P209">
        <f t="shared" si="21"/>
        <v>0.45867604554820474</v>
      </c>
      <c r="Q209">
        <f t="shared" si="22"/>
        <v>0</v>
      </c>
      <c r="R209">
        <f t="shared" si="23"/>
        <v>0</v>
      </c>
      <c r="S209">
        <f t="shared" si="24"/>
        <v>0.54132395445179526</v>
      </c>
      <c r="T209">
        <f t="shared" si="25"/>
        <v>-0.61373737259879468</v>
      </c>
    </row>
    <row r="210" spans="1:20" x14ac:dyDescent="0.25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20"/>
        <v>0.76963571842342327</v>
      </c>
      <c r="P210">
        <f t="shared" si="21"/>
        <v>0.68344208704834486</v>
      </c>
      <c r="Q210">
        <f t="shared" si="22"/>
        <v>1</v>
      </c>
      <c r="R210">
        <f t="shared" si="23"/>
        <v>0</v>
      </c>
      <c r="S210">
        <f t="shared" si="24"/>
        <v>0.68344208704834486</v>
      </c>
      <c r="T210">
        <f t="shared" si="25"/>
        <v>-0.3806133564030279</v>
      </c>
    </row>
    <row r="211" spans="1:20" x14ac:dyDescent="0.25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20"/>
        <v>0.88144164959701943</v>
      </c>
      <c r="P211">
        <f t="shared" si="21"/>
        <v>0.70712087720918171</v>
      </c>
      <c r="Q211">
        <f t="shared" si="22"/>
        <v>1</v>
      </c>
      <c r="R211">
        <f t="shared" si="23"/>
        <v>0</v>
      </c>
      <c r="S211">
        <f t="shared" si="24"/>
        <v>0.70712087720918171</v>
      </c>
      <c r="T211">
        <f t="shared" si="25"/>
        <v>-0.34655365569228308</v>
      </c>
    </row>
    <row r="212" spans="1:20" x14ac:dyDescent="0.25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20"/>
        <v>0.60524757950470875</v>
      </c>
      <c r="P212">
        <f t="shared" si="21"/>
        <v>0.64685595002472884</v>
      </c>
      <c r="Q212">
        <f t="shared" si="22"/>
        <v>1</v>
      </c>
      <c r="R212">
        <f t="shared" si="23"/>
        <v>1</v>
      </c>
      <c r="S212">
        <f t="shared" si="24"/>
        <v>0.35314404997527116</v>
      </c>
      <c r="T212">
        <f t="shared" si="25"/>
        <v>-1.0408792317038835</v>
      </c>
    </row>
    <row r="213" spans="1:20" x14ac:dyDescent="0.25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20"/>
        <v>0.33779361153908161</v>
      </c>
      <c r="P213">
        <f t="shared" si="21"/>
        <v>0.58365446544004151</v>
      </c>
      <c r="Q213">
        <f t="shared" si="22"/>
        <v>1</v>
      </c>
      <c r="R213">
        <f t="shared" si="23"/>
        <v>1</v>
      </c>
      <c r="S213">
        <f t="shared" si="24"/>
        <v>0.41634553455995849</v>
      </c>
      <c r="T213">
        <f t="shared" si="25"/>
        <v>-0.87623975156508127</v>
      </c>
    </row>
    <row r="214" spans="1:20" x14ac:dyDescent="0.25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20"/>
        <v>0.27682924858511715</v>
      </c>
      <c r="P214">
        <f t="shared" si="21"/>
        <v>0.56876870118371181</v>
      </c>
      <c r="Q214">
        <f t="shared" si="22"/>
        <v>1</v>
      </c>
      <c r="R214">
        <f t="shared" si="23"/>
        <v>1</v>
      </c>
      <c r="S214">
        <f t="shared" si="24"/>
        <v>0.43123129881628819</v>
      </c>
      <c r="T214">
        <f t="shared" si="25"/>
        <v>-0.84111067664053862</v>
      </c>
    </row>
    <row r="215" spans="1:20" x14ac:dyDescent="0.25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20"/>
        <v>0.89362848316458576</v>
      </c>
      <c r="P215">
        <f t="shared" si="21"/>
        <v>0.70963839617595903</v>
      </c>
      <c r="Q215">
        <f t="shared" si="22"/>
        <v>1</v>
      </c>
      <c r="R215">
        <f t="shared" si="23"/>
        <v>0</v>
      </c>
      <c r="S215">
        <f t="shared" si="24"/>
        <v>0.70963839617595903</v>
      </c>
      <c r="T215">
        <f t="shared" si="25"/>
        <v>-0.34299973984528542</v>
      </c>
    </row>
    <row r="216" spans="1:20" x14ac:dyDescent="0.25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20"/>
        <v>0.8363310803869648</v>
      </c>
      <c r="P216">
        <f t="shared" si="21"/>
        <v>0.69769193692853004</v>
      </c>
      <c r="Q216">
        <f t="shared" si="22"/>
        <v>1</v>
      </c>
      <c r="R216">
        <f t="shared" si="23"/>
        <v>0</v>
      </c>
      <c r="S216">
        <f t="shared" si="24"/>
        <v>0.69769193692853004</v>
      </c>
      <c r="T216">
        <f t="shared" si="25"/>
        <v>-0.35997762474908801</v>
      </c>
    </row>
    <row r="217" spans="1:20" x14ac:dyDescent="0.25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20"/>
        <v>0.5399928275704422</v>
      </c>
      <c r="P217">
        <f t="shared" si="21"/>
        <v>0.63181074924460878</v>
      </c>
      <c r="Q217">
        <f t="shared" si="22"/>
        <v>1</v>
      </c>
      <c r="R217">
        <f t="shared" si="23"/>
        <v>0</v>
      </c>
      <c r="S217">
        <f t="shared" si="24"/>
        <v>0.63181074924460878</v>
      </c>
      <c r="T217">
        <f t="shared" si="25"/>
        <v>-0.45916537707637495</v>
      </c>
    </row>
    <row r="218" spans="1:20" x14ac:dyDescent="0.25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20"/>
        <v>0.34941647748839277</v>
      </c>
      <c r="P218">
        <f t="shared" si="21"/>
        <v>0.58647606907996841</v>
      </c>
      <c r="Q218">
        <f t="shared" si="22"/>
        <v>1</v>
      </c>
      <c r="R218">
        <f t="shared" si="23"/>
        <v>0</v>
      </c>
      <c r="S218">
        <f t="shared" si="24"/>
        <v>0.58647606907996841</v>
      </c>
      <c r="T218">
        <f t="shared" si="25"/>
        <v>-0.53362341465377439</v>
      </c>
    </row>
    <row r="219" spans="1:20" x14ac:dyDescent="0.25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20"/>
        <v>-6.9068944735209858E-2</v>
      </c>
      <c r="P219">
        <f t="shared" si="21"/>
        <v>0.48273962501644091</v>
      </c>
      <c r="Q219">
        <f t="shared" si="22"/>
        <v>0</v>
      </c>
      <c r="R219">
        <f t="shared" si="23"/>
        <v>0</v>
      </c>
      <c r="S219">
        <f t="shared" si="24"/>
        <v>0.51726037498355915</v>
      </c>
      <c r="T219">
        <f t="shared" si="25"/>
        <v>-0.65920890459039472</v>
      </c>
    </row>
    <row r="223" spans="1:20" x14ac:dyDescent="0.25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32</v>
      </c>
      <c r="R223" t="s">
        <v>33</v>
      </c>
    </row>
    <row r="224" spans="1:20" x14ac:dyDescent="0.25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 t="shared" ref="O224:O287" si="26">SUMPRODUCT(A$4:M$4, A224:M224)+N$4</f>
        <v>0.33743592599502215</v>
      </c>
      <c r="P224">
        <f t="shared" ref="P224:P287" si="27">1/(1+EXP(0-O224))</f>
        <v>0.58356754456243554</v>
      </c>
      <c r="Q224">
        <f>IF(P224&lt;0.5,0,1)</f>
        <v>1</v>
      </c>
      <c r="R224">
        <f>IF(N224=Q224,0,1)</f>
        <v>1</v>
      </c>
    </row>
    <row r="225" spans="1:18" x14ac:dyDescent="0.25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si="26"/>
        <v>1.119502786634758</v>
      </c>
      <c r="P225">
        <f t="shared" si="27"/>
        <v>0.75389647682839767</v>
      </c>
      <c r="Q225">
        <f t="shared" ref="Q225:Q288" si="28">IF(P225&lt;0.5,0,1)</f>
        <v>1</v>
      </c>
      <c r="R225">
        <f t="shared" ref="R225:R288" si="29">IF(N225=Q225,0,1)</f>
        <v>0</v>
      </c>
    </row>
    <row r="226" spans="1:18" x14ac:dyDescent="0.25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6"/>
        <v>0.34466228081693395</v>
      </c>
      <c r="P226">
        <f t="shared" si="27"/>
        <v>0.58532260027387228</v>
      </c>
      <c r="Q226">
        <f t="shared" si="28"/>
        <v>1</v>
      </c>
      <c r="R226">
        <f t="shared" si="29"/>
        <v>1</v>
      </c>
    </row>
    <row r="227" spans="1:18" x14ac:dyDescent="0.25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6"/>
        <v>-3.7936391964251526E-2</v>
      </c>
      <c r="P227">
        <f t="shared" si="27"/>
        <v>0.49051703928091001</v>
      </c>
      <c r="Q227">
        <f t="shared" si="28"/>
        <v>0</v>
      </c>
      <c r="R227">
        <f t="shared" si="29"/>
        <v>0</v>
      </c>
    </row>
    <row r="228" spans="1:18" x14ac:dyDescent="0.25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6"/>
        <v>0.83172534039023294</v>
      </c>
      <c r="P228">
        <f t="shared" si="27"/>
        <v>0.69671962033671686</v>
      </c>
      <c r="Q228">
        <f t="shared" si="28"/>
        <v>1</v>
      </c>
      <c r="R228">
        <f t="shared" si="29"/>
        <v>0</v>
      </c>
    </row>
    <row r="229" spans="1:18" x14ac:dyDescent="0.25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6"/>
        <v>0.5197233902864955</v>
      </c>
      <c r="P229">
        <f t="shared" si="27"/>
        <v>0.6270830834363178</v>
      </c>
      <c r="Q229">
        <f t="shared" si="28"/>
        <v>1</v>
      </c>
      <c r="R229">
        <f t="shared" si="29"/>
        <v>1</v>
      </c>
    </row>
    <row r="230" spans="1:18" x14ac:dyDescent="0.25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6"/>
        <v>0.67955291758171299</v>
      </c>
      <c r="P230">
        <f t="shared" si="27"/>
        <v>0.66363890593728292</v>
      </c>
      <c r="Q230">
        <f t="shared" si="28"/>
        <v>1</v>
      </c>
      <c r="R230">
        <f t="shared" si="29"/>
        <v>0</v>
      </c>
    </row>
    <row r="231" spans="1:18" x14ac:dyDescent="0.25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6"/>
        <v>0.36298860785597142</v>
      </c>
      <c r="P231">
        <f t="shared" si="27"/>
        <v>0.58976369874106116</v>
      </c>
      <c r="Q231">
        <f t="shared" si="28"/>
        <v>1</v>
      </c>
      <c r="R231">
        <f t="shared" si="29"/>
        <v>1</v>
      </c>
    </row>
    <row r="232" spans="1:18" x14ac:dyDescent="0.25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6"/>
        <v>0.36053342199717897</v>
      </c>
      <c r="P232">
        <f t="shared" si="27"/>
        <v>0.58916955434649487</v>
      </c>
      <c r="Q232">
        <f t="shared" si="28"/>
        <v>1</v>
      </c>
      <c r="R232">
        <f t="shared" si="29"/>
        <v>0</v>
      </c>
    </row>
    <row r="233" spans="1:18" x14ac:dyDescent="0.25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6"/>
        <v>1.133963441479592</v>
      </c>
      <c r="P233">
        <f t="shared" si="27"/>
        <v>0.75656959629487019</v>
      </c>
      <c r="Q233">
        <f t="shared" si="28"/>
        <v>1</v>
      </c>
      <c r="R233">
        <f t="shared" si="29"/>
        <v>0</v>
      </c>
    </row>
    <row r="234" spans="1:18" x14ac:dyDescent="0.25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6"/>
        <v>0.12079643633181414</v>
      </c>
      <c r="P234">
        <f t="shared" si="27"/>
        <v>0.53016244102668708</v>
      </c>
      <c r="Q234">
        <f t="shared" si="28"/>
        <v>1</v>
      </c>
      <c r="R234">
        <f t="shared" si="29"/>
        <v>1</v>
      </c>
    </row>
    <row r="235" spans="1:18" x14ac:dyDescent="0.25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6"/>
        <v>0.29409709870404321</v>
      </c>
      <c r="P235">
        <f t="shared" si="27"/>
        <v>0.57299887334298705</v>
      </c>
      <c r="Q235">
        <f t="shared" si="28"/>
        <v>1</v>
      </c>
      <c r="R235">
        <f t="shared" si="29"/>
        <v>1</v>
      </c>
    </row>
    <row r="236" spans="1:18" x14ac:dyDescent="0.25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6"/>
        <v>0.19597499884532943</v>
      </c>
      <c r="P236">
        <f t="shared" si="27"/>
        <v>0.54883754429634046</v>
      </c>
      <c r="Q236">
        <f t="shared" si="28"/>
        <v>1</v>
      </c>
      <c r="R236">
        <f t="shared" si="29"/>
        <v>1</v>
      </c>
    </row>
    <row r="237" spans="1:18" x14ac:dyDescent="0.25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6"/>
        <v>0.84599169758070492</v>
      </c>
      <c r="P237">
        <f t="shared" si="27"/>
        <v>0.69972563417635558</v>
      </c>
      <c r="Q237">
        <f t="shared" si="28"/>
        <v>1</v>
      </c>
      <c r="R237">
        <f t="shared" si="29"/>
        <v>0</v>
      </c>
    </row>
    <row r="238" spans="1:18" x14ac:dyDescent="0.25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6"/>
        <v>0.1424096956458365</v>
      </c>
      <c r="P238">
        <f t="shared" si="27"/>
        <v>0.53554237604534594</v>
      </c>
      <c r="Q238">
        <f t="shared" si="28"/>
        <v>1</v>
      </c>
      <c r="R238">
        <f t="shared" si="29"/>
        <v>1</v>
      </c>
    </row>
    <row r="239" spans="1:18" x14ac:dyDescent="0.25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6"/>
        <v>0.62681181658478136</v>
      </c>
      <c r="P239">
        <f t="shared" si="27"/>
        <v>0.65176620027137722</v>
      </c>
      <c r="Q239">
        <f t="shared" si="28"/>
        <v>1</v>
      </c>
      <c r="R239">
        <f t="shared" si="29"/>
        <v>0</v>
      </c>
    </row>
    <row r="240" spans="1:18" x14ac:dyDescent="0.25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6"/>
        <v>0.31667416178933405</v>
      </c>
      <c r="P240">
        <f t="shared" si="27"/>
        <v>0.57851350674760915</v>
      </c>
      <c r="Q240">
        <f t="shared" si="28"/>
        <v>1</v>
      </c>
      <c r="R240">
        <f t="shared" si="29"/>
        <v>1</v>
      </c>
    </row>
    <row r="241" spans="1:18" x14ac:dyDescent="0.25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6"/>
        <v>0.40674564528383339</v>
      </c>
      <c r="P241">
        <f t="shared" si="27"/>
        <v>0.60030728953060342</v>
      </c>
      <c r="Q241">
        <f t="shared" si="28"/>
        <v>1</v>
      </c>
      <c r="R241">
        <f t="shared" si="29"/>
        <v>0</v>
      </c>
    </row>
    <row r="242" spans="1:18" x14ac:dyDescent="0.25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6"/>
        <v>0.35527244355377285</v>
      </c>
      <c r="P242">
        <f t="shared" si="27"/>
        <v>0.58789554615391981</v>
      </c>
      <c r="Q242">
        <f t="shared" si="28"/>
        <v>1</v>
      </c>
      <c r="R242">
        <f t="shared" si="29"/>
        <v>1</v>
      </c>
    </row>
    <row r="243" spans="1:18" x14ac:dyDescent="0.25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6"/>
        <v>0.41597818480165683</v>
      </c>
      <c r="P243">
        <f t="shared" si="27"/>
        <v>0.60252046540737714</v>
      </c>
      <c r="Q243">
        <f t="shared" si="28"/>
        <v>1</v>
      </c>
      <c r="R243">
        <f t="shared" si="29"/>
        <v>1</v>
      </c>
    </row>
    <row r="244" spans="1:18" x14ac:dyDescent="0.25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6"/>
        <v>-7.5443474713293157E-2</v>
      </c>
      <c r="P244">
        <f t="shared" si="27"/>
        <v>0.48114807212814215</v>
      </c>
      <c r="Q244">
        <f t="shared" si="28"/>
        <v>0</v>
      </c>
      <c r="R244">
        <f t="shared" si="29"/>
        <v>0</v>
      </c>
    </row>
    <row r="245" spans="1:18" x14ac:dyDescent="0.25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6"/>
        <v>1.1398814558331563</v>
      </c>
      <c r="P245">
        <f t="shared" si="27"/>
        <v>0.75765787348715441</v>
      </c>
      <c r="Q245">
        <f t="shared" si="28"/>
        <v>1</v>
      </c>
      <c r="R245">
        <f t="shared" si="29"/>
        <v>0</v>
      </c>
    </row>
    <row r="246" spans="1:18" x14ac:dyDescent="0.25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6"/>
        <v>0.32801684516729934</v>
      </c>
      <c r="P246">
        <f t="shared" si="27"/>
        <v>0.58127676662895744</v>
      </c>
      <c r="Q246">
        <f t="shared" si="28"/>
        <v>1</v>
      </c>
      <c r="R246">
        <f t="shared" si="29"/>
        <v>0</v>
      </c>
    </row>
    <row r="247" spans="1:18" x14ac:dyDescent="0.25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6"/>
        <v>0.16587408670245241</v>
      </c>
      <c r="P247">
        <f t="shared" si="27"/>
        <v>0.54137370141395247</v>
      </c>
      <c r="Q247">
        <f t="shared" si="28"/>
        <v>1</v>
      </c>
      <c r="R247">
        <f t="shared" si="29"/>
        <v>1</v>
      </c>
    </row>
    <row r="248" spans="1:18" x14ac:dyDescent="0.25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6"/>
        <v>0.69502670002931377</v>
      </c>
      <c r="P248">
        <f t="shared" si="27"/>
        <v>0.66708420674115976</v>
      </c>
      <c r="Q248">
        <f t="shared" si="28"/>
        <v>1</v>
      </c>
      <c r="R248">
        <f t="shared" si="29"/>
        <v>0</v>
      </c>
    </row>
    <row r="249" spans="1:18" x14ac:dyDescent="0.25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6"/>
        <v>0.16574323775344424</v>
      </c>
      <c r="P249">
        <f t="shared" si="27"/>
        <v>0.54134121298589266</v>
      </c>
      <c r="Q249">
        <f t="shared" si="28"/>
        <v>1</v>
      </c>
      <c r="R249">
        <f t="shared" si="29"/>
        <v>1</v>
      </c>
    </row>
    <row r="250" spans="1:18" x14ac:dyDescent="0.25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6"/>
        <v>1.4989840416434752E-2</v>
      </c>
      <c r="P250">
        <f t="shared" si="27"/>
        <v>0.50374738993595769</v>
      </c>
      <c r="Q250">
        <f t="shared" si="28"/>
        <v>1</v>
      </c>
      <c r="R250">
        <f t="shared" si="29"/>
        <v>1</v>
      </c>
    </row>
    <row r="251" spans="1:18" x14ac:dyDescent="0.25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6"/>
        <v>0.17469555120954894</v>
      </c>
      <c r="P251">
        <f t="shared" si="27"/>
        <v>0.5435631538090262</v>
      </c>
      <c r="Q251">
        <f t="shared" si="28"/>
        <v>1</v>
      </c>
      <c r="R251">
        <f t="shared" si="29"/>
        <v>1</v>
      </c>
    </row>
    <row r="252" spans="1:18" x14ac:dyDescent="0.25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6"/>
        <v>0.16798300833968582</v>
      </c>
      <c r="P252">
        <f t="shared" si="27"/>
        <v>0.54189727592873083</v>
      </c>
      <c r="Q252">
        <f t="shared" si="28"/>
        <v>1</v>
      </c>
      <c r="R252">
        <f t="shared" si="29"/>
        <v>1</v>
      </c>
    </row>
    <row r="253" spans="1:18" x14ac:dyDescent="0.25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6"/>
        <v>0.30475197600075443</v>
      </c>
      <c r="P253">
        <f t="shared" si="27"/>
        <v>0.57560376386674938</v>
      </c>
      <c r="Q253">
        <f t="shared" si="28"/>
        <v>1</v>
      </c>
      <c r="R253">
        <f t="shared" si="29"/>
        <v>1</v>
      </c>
    </row>
    <row r="254" spans="1:18" x14ac:dyDescent="0.25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6"/>
        <v>0.68652137087089438</v>
      </c>
      <c r="P254">
        <f t="shared" si="27"/>
        <v>0.66519264213851292</v>
      </c>
      <c r="Q254">
        <f t="shared" si="28"/>
        <v>1</v>
      </c>
      <c r="R254">
        <f t="shared" si="29"/>
        <v>0</v>
      </c>
    </row>
    <row r="255" spans="1:18" x14ac:dyDescent="0.25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6"/>
        <v>0.12213267232572256</v>
      </c>
      <c r="P255">
        <f t="shared" si="27"/>
        <v>0.53049527088999326</v>
      </c>
      <c r="Q255">
        <f t="shared" si="28"/>
        <v>1</v>
      </c>
      <c r="R255">
        <f t="shared" si="29"/>
        <v>1</v>
      </c>
    </row>
    <row r="256" spans="1:18" x14ac:dyDescent="0.25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6"/>
        <v>1.1138829277447457</v>
      </c>
      <c r="P256">
        <f t="shared" si="27"/>
        <v>0.75285230028712891</v>
      </c>
      <c r="Q256">
        <f t="shared" si="28"/>
        <v>1</v>
      </c>
      <c r="R256">
        <f t="shared" si="29"/>
        <v>0</v>
      </c>
    </row>
    <row r="257" spans="1:18" x14ac:dyDescent="0.25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6"/>
        <v>6.8849463643644804E-2</v>
      </c>
      <c r="P257">
        <f t="shared" si="27"/>
        <v>0.51720556989119459</v>
      </c>
      <c r="Q257">
        <f t="shared" si="28"/>
        <v>1</v>
      </c>
      <c r="R257">
        <f t="shared" si="29"/>
        <v>1</v>
      </c>
    </row>
    <row r="258" spans="1:18" x14ac:dyDescent="0.25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6"/>
        <v>6.9255989868709122E-2</v>
      </c>
      <c r="P258">
        <f t="shared" si="27"/>
        <v>0.5173070803914227</v>
      </c>
      <c r="Q258">
        <f t="shared" si="28"/>
        <v>1</v>
      </c>
      <c r="R258">
        <f t="shared" si="29"/>
        <v>1</v>
      </c>
    </row>
    <row r="259" spans="1:18" x14ac:dyDescent="0.25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6"/>
        <v>8.8172297045625347E-2</v>
      </c>
      <c r="P259">
        <f t="shared" si="27"/>
        <v>0.52202880446666267</v>
      </c>
      <c r="Q259">
        <f t="shared" si="28"/>
        <v>1</v>
      </c>
      <c r="R259">
        <f t="shared" si="29"/>
        <v>0</v>
      </c>
    </row>
    <row r="260" spans="1:18" x14ac:dyDescent="0.25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6"/>
        <v>0.97827725538034604</v>
      </c>
      <c r="P260">
        <f t="shared" si="27"/>
        <v>0.72676625244410253</v>
      </c>
      <c r="Q260">
        <f t="shared" si="28"/>
        <v>1</v>
      </c>
      <c r="R260">
        <f t="shared" si="29"/>
        <v>0</v>
      </c>
    </row>
    <row r="261" spans="1:18" x14ac:dyDescent="0.25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6"/>
        <v>1.0194067624851391</v>
      </c>
      <c r="P261">
        <f t="shared" si="27"/>
        <v>0.73485702788348506</v>
      </c>
      <c r="Q261">
        <f t="shared" si="28"/>
        <v>1</v>
      </c>
      <c r="R261">
        <f t="shared" si="29"/>
        <v>0</v>
      </c>
    </row>
    <row r="262" spans="1:18" x14ac:dyDescent="0.25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6"/>
        <v>0.74357426800237625</v>
      </c>
      <c r="P262">
        <f t="shared" si="27"/>
        <v>0.67777695526113912</v>
      </c>
      <c r="Q262">
        <f t="shared" si="28"/>
        <v>1</v>
      </c>
      <c r="R262">
        <f t="shared" si="29"/>
        <v>0</v>
      </c>
    </row>
    <row r="263" spans="1:18" x14ac:dyDescent="0.25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6"/>
        <v>1.0758221741111327</v>
      </c>
      <c r="P263">
        <f t="shared" si="27"/>
        <v>0.74570255470524727</v>
      </c>
      <c r="Q263">
        <f t="shared" si="28"/>
        <v>1</v>
      </c>
      <c r="R263">
        <f t="shared" si="29"/>
        <v>0</v>
      </c>
    </row>
    <row r="264" spans="1:18" x14ac:dyDescent="0.25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6"/>
        <v>0.81419846576592669</v>
      </c>
      <c r="P264">
        <f t="shared" si="27"/>
        <v>0.69300344956864446</v>
      </c>
      <c r="Q264">
        <f t="shared" si="28"/>
        <v>1</v>
      </c>
      <c r="R264">
        <f t="shared" si="29"/>
        <v>1</v>
      </c>
    </row>
    <row r="265" spans="1:18" x14ac:dyDescent="0.25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6"/>
        <v>0.21156700731460809</v>
      </c>
      <c r="P265">
        <f t="shared" si="27"/>
        <v>0.55269534205108262</v>
      </c>
      <c r="Q265">
        <f t="shared" si="28"/>
        <v>1</v>
      </c>
      <c r="R265">
        <f t="shared" si="29"/>
        <v>0</v>
      </c>
    </row>
    <row r="266" spans="1:18" x14ac:dyDescent="0.25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6"/>
        <v>0.16929704180183847</v>
      </c>
      <c r="P266">
        <f t="shared" si="27"/>
        <v>0.54222345965914498</v>
      </c>
      <c r="Q266">
        <f t="shared" si="28"/>
        <v>1</v>
      </c>
      <c r="R266">
        <f t="shared" si="29"/>
        <v>1</v>
      </c>
    </row>
    <row r="267" spans="1:18" x14ac:dyDescent="0.25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6"/>
        <v>0.3522258143524768</v>
      </c>
      <c r="P267">
        <f t="shared" si="27"/>
        <v>0.5871572288351955</v>
      </c>
      <c r="Q267">
        <f t="shared" si="28"/>
        <v>1</v>
      </c>
      <c r="R267">
        <f t="shared" si="29"/>
        <v>1</v>
      </c>
    </row>
    <row r="268" spans="1:18" x14ac:dyDescent="0.25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6"/>
        <v>1.0140626332290348</v>
      </c>
      <c r="P268">
        <f t="shared" si="27"/>
        <v>0.73381446005579831</v>
      </c>
      <c r="Q268">
        <f t="shared" si="28"/>
        <v>1</v>
      </c>
      <c r="R268">
        <f t="shared" si="29"/>
        <v>0</v>
      </c>
    </row>
    <row r="269" spans="1:18" x14ac:dyDescent="0.25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6"/>
        <v>0.47949111732023098</v>
      </c>
      <c r="P269">
        <f t="shared" si="27"/>
        <v>0.61762770233665631</v>
      </c>
      <c r="Q269">
        <f t="shared" si="28"/>
        <v>1</v>
      </c>
      <c r="R269">
        <f t="shared" si="29"/>
        <v>0</v>
      </c>
    </row>
    <row r="270" spans="1:18" x14ac:dyDescent="0.25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6"/>
        <v>1.3750667292480707</v>
      </c>
      <c r="P270">
        <f t="shared" si="27"/>
        <v>0.79819752658301435</v>
      </c>
      <c r="Q270">
        <f t="shared" si="28"/>
        <v>1</v>
      </c>
      <c r="R270">
        <f t="shared" si="29"/>
        <v>0</v>
      </c>
    </row>
    <row r="271" spans="1:18" x14ac:dyDescent="0.25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6"/>
        <v>0.81270381511705891</v>
      </c>
      <c r="P271">
        <f t="shared" si="27"/>
        <v>0.69268537144099118</v>
      </c>
      <c r="Q271">
        <f t="shared" si="28"/>
        <v>1</v>
      </c>
      <c r="R271">
        <f t="shared" si="29"/>
        <v>0</v>
      </c>
    </row>
    <row r="272" spans="1:18" x14ac:dyDescent="0.25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6"/>
        <v>0.25473680424695933</v>
      </c>
      <c r="P272">
        <f t="shared" si="27"/>
        <v>0.56334204440148195</v>
      </c>
      <c r="Q272">
        <f t="shared" si="28"/>
        <v>1</v>
      </c>
      <c r="R272">
        <f t="shared" si="29"/>
        <v>1</v>
      </c>
    </row>
    <row r="273" spans="1:18" x14ac:dyDescent="0.25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6"/>
        <v>0.10671166503067431</v>
      </c>
      <c r="P273">
        <f t="shared" si="27"/>
        <v>0.52665262908978105</v>
      </c>
      <c r="Q273">
        <f t="shared" si="28"/>
        <v>1</v>
      </c>
      <c r="R273">
        <f t="shared" si="29"/>
        <v>1</v>
      </c>
    </row>
    <row r="274" spans="1:18" x14ac:dyDescent="0.25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6"/>
        <v>0.38320173486024567</v>
      </c>
      <c r="P274">
        <f t="shared" si="27"/>
        <v>0.59464508976572716</v>
      </c>
      <c r="Q274">
        <f t="shared" si="28"/>
        <v>1</v>
      </c>
      <c r="R274">
        <f t="shared" si="29"/>
        <v>1</v>
      </c>
    </row>
    <row r="275" spans="1:18" x14ac:dyDescent="0.25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6"/>
        <v>1.1615724548006281</v>
      </c>
      <c r="P275">
        <f t="shared" si="27"/>
        <v>0.761618320652106</v>
      </c>
      <c r="Q275">
        <f t="shared" si="28"/>
        <v>1</v>
      </c>
      <c r="R275">
        <f t="shared" si="29"/>
        <v>0</v>
      </c>
    </row>
    <row r="276" spans="1:18" x14ac:dyDescent="0.25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6"/>
        <v>0.83193258721660857</v>
      </c>
      <c r="P276">
        <f t="shared" si="27"/>
        <v>0.69676341009396103</v>
      </c>
      <c r="Q276">
        <f t="shared" si="28"/>
        <v>1</v>
      </c>
      <c r="R276">
        <f t="shared" si="29"/>
        <v>0</v>
      </c>
    </row>
    <row r="277" spans="1:18" x14ac:dyDescent="0.25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6"/>
        <v>0.41485611054171456</v>
      </c>
      <c r="P277">
        <f t="shared" si="27"/>
        <v>0.60225170945481743</v>
      </c>
      <c r="Q277">
        <f t="shared" si="28"/>
        <v>1</v>
      </c>
      <c r="R277">
        <f t="shared" si="29"/>
        <v>0</v>
      </c>
    </row>
    <row r="278" spans="1:18" x14ac:dyDescent="0.25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6"/>
        <v>0.38152652949786825</v>
      </c>
      <c r="P278">
        <f t="shared" si="27"/>
        <v>0.59424123046307831</v>
      </c>
      <c r="Q278">
        <f t="shared" si="28"/>
        <v>1</v>
      </c>
      <c r="R278">
        <f t="shared" si="29"/>
        <v>0</v>
      </c>
    </row>
    <row r="279" spans="1:18" x14ac:dyDescent="0.25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6"/>
        <v>0.40678341212888713</v>
      </c>
      <c r="P279">
        <f t="shared" si="27"/>
        <v>0.60031635121444937</v>
      </c>
      <c r="Q279">
        <f t="shared" si="28"/>
        <v>1</v>
      </c>
      <c r="R279">
        <f t="shared" si="29"/>
        <v>1</v>
      </c>
    </row>
    <row r="280" spans="1:18" x14ac:dyDescent="0.25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6"/>
        <v>0.66432605969987546</v>
      </c>
      <c r="P280">
        <f t="shared" si="27"/>
        <v>0.66023150716862644</v>
      </c>
      <c r="Q280">
        <f t="shared" si="28"/>
        <v>1</v>
      </c>
      <c r="R280">
        <f t="shared" si="29"/>
        <v>1</v>
      </c>
    </row>
    <row r="281" spans="1:18" x14ac:dyDescent="0.25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6"/>
        <v>0.10940357638632991</v>
      </c>
      <c r="P281">
        <f t="shared" si="27"/>
        <v>0.52732364614710536</v>
      </c>
      <c r="Q281">
        <f t="shared" si="28"/>
        <v>1</v>
      </c>
      <c r="R281">
        <f t="shared" si="29"/>
        <v>1</v>
      </c>
    </row>
    <row r="282" spans="1:18" x14ac:dyDescent="0.25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6"/>
        <v>1.1751768298673357</v>
      </c>
      <c r="P282">
        <f t="shared" si="27"/>
        <v>0.76407947699677736</v>
      </c>
      <c r="Q282">
        <f t="shared" si="28"/>
        <v>1</v>
      </c>
      <c r="R282">
        <f t="shared" si="29"/>
        <v>0</v>
      </c>
    </row>
    <row r="283" spans="1:18" x14ac:dyDescent="0.25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6"/>
        <v>0.52181841341896162</v>
      </c>
      <c r="P283">
        <f t="shared" si="27"/>
        <v>0.62757287378328497</v>
      </c>
      <c r="Q283">
        <f t="shared" si="28"/>
        <v>1</v>
      </c>
      <c r="R283">
        <f t="shared" si="29"/>
        <v>0</v>
      </c>
    </row>
    <row r="284" spans="1:18" x14ac:dyDescent="0.25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6"/>
        <v>-3.5214446274251521E-3</v>
      </c>
      <c r="P284">
        <f t="shared" si="27"/>
        <v>0.49911963975289109</v>
      </c>
      <c r="Q284">
        <f t="shared" si="28"/>
        <v>0</v>
      </c>
      <c r="R284">
        <f t="shared" si="29"/>
        <v>0</v>
      </c>
    </row>
    <row r="285" spans="1:18" x14ac:dyDescent="0.25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6"/>
        <v>0.10362852871604344</v>
      </c>
      <c r="P285">
        <f t="shared" si="27"/>
        <v>0.52588397260151498</v>
      </c>
      <c r="Q285">
        <f t="shared" si="28"/>
        <v>1</v>
      </c>
      <c r="R285">
        <f t="shared" si="29"/>
        <v>1</v>
      </c>
    </row>
    <row r="286" spans="1:18" x14ac:dyDescent="0.25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6"/>
        <v>6.4138276427103624E-2</v>
      </c>
      <c r="P286">
        <f t="shared" si="27"/>
        <v>0.51602907455843217</v>
      </c>
      <c r="Q286">
        <f t="shared" si="28"/>
        <v>1</v>
      </c>
      <c r="R286">
        <f t="shared" si="29"/>
        <v>1</v>
      </c>
    </row>
    <row r="287" spans="1:18" x14ac:dyDescent="0.25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6"/>
        <v>0.5192465094769807</v>
      </c>
      <c r="P287">
        <f t="shared" si="27"/>
        <v>0.62697155815480832</v>
      </c>
      <c r="Q287">
        <f t="shared" si="28"/>
        <v>1</v>
      </c>
      <c r="R287">
        <f t="shared" si="29"/>
        <v>0</v>
      </c>
    </row>
    <row r="288" spans="1:18" x14ac:dyDescent="0.25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ref="O288:O306" si="30">SUMPRODUCT(A$4:M$4, A288:M288)+N$4</f>
        <v>0.73304805492776581</v>
      </c>
      <c r="P288">
        <f t="shared" ref="P288:P306" si="31">1/(1+EXP(0-O288))</f>
        <v>0.67547379054077361</v>
      </c>
      <c r="Q288">
        <f t="shared" si="28"/>
        <v>1</v>
      </c>
      <c r="R288">
        <f t="shared" si="29"/>
        <v>0</v>
      </c>
    </row>
    <row r="289" spans="1:18" x14ac:dyDescent="0.25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si="30"/>
        <v>2.0110695632212183E-2</v>
      </c>
      <c r="P289">
        <f t="shared" si="31"/>
        <v>0.50502750446550326</v>
      </c>
      <c r="Q289">
        <f t="shared" ref="Q289:Q306" si="32">IF(P289&lt;0.5,0,1)</f>
        <v>1</v>
      </c>
      <c r="R289">
        <f t="shared" ref="R289:R306" si="33">IF(N289=Q289,0,1)</f>
        <v>1</v>
      </c>
    </row>
    <row r="290" spans="1:18" x14ac:dyDescent="0.25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30"/>
        <v>0.91001655659566771</v>
      </c>
      <c r="P290">
        <f t="shared" si="31"/>
        <v>0.7130035507319139</v>
      </c>
      <c r="Q290">
        <f t="shared" si="32"/>
        <v>1</v>
      </c>
      <c r="R290">
        <f t="shared" si="33"/>
        <v>0</v>
      </c>
    </row>
    <row r="291" spans="1:18" x14ac:dyDescent="0.25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30"/>
        <v>5.5294995951034098E-2</v>
      </c>
      <c r="P291">
        <f t="shared" si="31"/>
        <v>0.5138202278461762</v>
      </c>
      <c r="Q291">
        <f t="shared" si="32"/>
        <v>1</v>
      </c>
      <c r="R291">
        <f t="shared" si="33"/>
        <v>1</v>
      </c>
    </row>
    <row r="292" spans="1:18" x14ac:dyDescent="0.25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30"/>
        <v>0.4007997490640034</v>
      </c>
      <c r="P292">
        <f t="shared" si="31"/>
        <v>0.59887979324455753</v>
      </c>
      <c r="Q292">
        <f t="shared" si="32"/>
        <v>1</v>
      </c>
      <c r="R292">
        <f t="shared" si="33"/>
        <v>1</v>
      </c>
    </row>
    <row r="293" spans="1:18" x14ac:dyDescent="0.25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30"/>
        <v>0.14283983542504397</v>
      </c>
      <c r="P293">
        <f t="shared" si="31"/>
        <v>0.53564936597422552</v>
      </c>
      <c r="Q293">
        <f t="shared" si="32"/>
        <v>1</v>
      </c>
      <c r="R293">
        <f t="shared" si="33"/>
        <v>1</v>
      </c>
    </row>
    <row r="294" spans="1:18" x14ac:dyDescent="0.25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30"/>
        <v>0.26352461894523427</v>
      </c>
      <c r="P294">
        <f t="shared" si="31"/>
        <v>0.56550252296923709</v>
      </c>
      <c r="Q294">
        <f t="shared" si="32"/>
        <v>1</v>
      </c>
      <c r="R294">
        <f t="shared" si="33"/>
        <v>0</v>
      </c>
    </row>
    <row r="295" spans="1:18" x14ac:dyDescent="0.25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30"/>
        <v>0.26422110131831467</v>
      </c>
      <c r="P295">
        <f t="shared" si="31"/>
        <v>0.56567364743496085</v>
      </c>
      <c r="Q295">
        <f t="shared" si="32"/>
        <v>1</v>
      </c>
      <c r="R295">
        <f t="shared" si="33"/>
        <v>1</v>
      </c>
    </row>
    <row r="296" spans="1:18" x14ac:dyDescent="0.25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30"/>
        <v>7.317111809383875E-2</v>
      </c>
      <c r="P296">
        <f t="shared" si="31"/>
        <v>0.51828462224329563</v>
      </c>
      <c r="Q296">
        <f t="shared" si="32"/>
        <v>1</v>
      </c>
      <c r="R296">
        <f t="shared" si="33"/>
        <v>1</v>
      </c>
    </row>
    <row r="297" spans="1:18" x14ac:dyDescent="0.25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30"/>
        <v>1.1539718870365736</v>
      </c>
      <c r="P297">
        <f t="shared" si="31"/>
        <v>0.76023565036713436</v>
      </c>
      <c r="Q297">
        <f t="shared" si="32"/>
        <v>1</v>
      </c>
      <c r="R297">
        <f t="shared" si="33"/>
        <v>0</v>
      </c>
    </row>
    <row r="298" spans="1:18" x14ac:dyDescent="0.25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30"/>
        <v>0.23950622269137622</v>
      </c>
      <c r="P298">
        <f t="shared" si="31"/>
        <v>0.55959196202611117</v>
      </c>
      <c r="Q298">
        <f t="shared" si="32"/>
        <v>1</v>
      </c>
      <c r="R298">
        <f t="shared" si="33"/>
        <v>0</v>
      </c>
    </row>
    <row r="299" spans="1:18" x14ac:dyDescent="0.25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30"/>
        <v>0.36181555696668943</v>
      </c>
      <c r="P299">
        <f t="shared" si="31"/>
        <v>0.5894798580464975</v>
      </c>
      <c r="Q299">
        <f t="shared" si="32"/>
        <v>1</v>
      </c>
      <c r="R299">
        <f t="shared" si="33"/>
        <v>1</v>
      </c>
    </row>
    <row r="300" spans="1:18" x14ac:dyDescent="0.25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30"/>
        <v>0.25151423252524596</v>
      </c>
      <c r="P300">
        <f t="shared" si="31"/>
        <v>0.56254916996156901</v>
      </c>
      <c r="Q300">
        <f t="shared" si="32"/>
        <v>1</v>
      </c>
      <c r="R300">
        <f t="shared" si="33"/>
        <v>0</v>
      </c>
    </row>
    <row r="301" spans="1:18" x14ac:dyDescent="0.25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30"/>
        <v>7.0507621006136223E-2</v>
      </c>
      <c r="P301">
        <f t="shared" si="31"/>
        <v>0.51761960645764249</v>
      </c>
      <c r="Q301">
        <f t="shared" si="32"/>
        <v>1</v>
      </c>
      <c r="R301">
        <f t="shared" si="33"/>
        <v>1</v>
      </c>
    </row>
    <row r="302" spans="1:18" x14ac:dyDescent="0.25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30"/>
        <v>-3.2862218685668854E-2</v>
      </c>
      <c r="P302">
        <f t="shared" si="31"/>
        <v>0.49178518459760595</v>
      </c>
      <c r="Q302">
        <f t="shared" si="32"/>
        <v>0</v>
      </c>
      <c r="R302">
        <f t="shared" si="33"/>
        <v>0</v>
      </c>
    </row>
    <row r="303" spans="1:18" x14ac:dyDescent="0.25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30"/>
        <v>0.24983165391885431</v>
      </c>
      <c r="P303">
        <f t="shared" si="31"/>
        <v>0.56213506474391162</v>
      </c>
      <c r="Q303">
        <f t="shared" si="32"/>
        <v>1</v>
      </c>
      <c r="R303">
        <f t="shared" si="33"/>
        <v>1</v>
      </c>
    </row>
    <row r="304" spans="1:18" x14ac:dyDescent="0.25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30"/>
        <v>0.13269377837096763</v>
      </c>
      <c r="P304">
        <f t="shared" si="31"/>
        <v>0.53312485464381354</v>
      </c>
      <c r="Q304">
        <f t="shared" si="32"/>
        <v>1</v>
      </c>
      <c r="R304">
        <f t="shared" si="33"/>
        <v>1</v>
      </c>
    </row>
    <row r="305" spans="1:18" x14ac:dyDescent="0.25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30"/>
        <v>1.0847883625245487</v>
      </c>
      <c r="P305">
        <f t="shared" si="31"/>
        <v>0.74739906648983179</v>
      </c>
      <c r="Q305">
        <f t="shared" si="32"/>
        <v>1</v>
      </c>
      <c r="R305">
        <f t="shared" si="33"/>
        <v>0</v>
      </c>
    </row>
    <row r="306" spans="1:18" x14ac:dyDescent="0.25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30"/>
        <v>0.27907174453296912</v>
      </c>
      <c r="P306">
        <f t="shared" si="31"/>
        <v>0.56931863506854807</v>
      </c>
      <c r="Q306">
        <f t="shared" si="32"/>
        <v>1</v>
      </c>
      <c r="R306">
        <f t="shared" si="33"/>
        <v>0</v>
      </c>
    </row>
  </sheetData>
  <mergeCells count="1">
    <mergeCell ref="A223:M2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6"/>
  <sheetViews>
    <sheetView tabSelected="1" workbookViewId="0">
      <selection activeCell="R224" sqref="R224:R306"/>
    </sheetView>
  </sheetViews>
  <sheetFormatPr defaultRowHeight="13.8" x14ac:dyDescent="0.25"/>
  <cols>
    <col min="1" max="1" width="7.59765625" customWidth="1"/>
    <col min="2" max="2" width="6.3984375" customWidth="1"/>
    <col min="3" max="3" width="6.8984375" customWidth="1"/>
    <col min="4" max="4" width="7.59765625" bestFit="1" customWidth="1"/>
    <col min="5" max="5" width="6.8984375" customWidth="1"/>
    <col min="6" max="6" width="5.3984375" customWidth="1"/>
    <col min="7" max="7" width="6.69921875" bestFit="1" customWidth="1"/>
    <col min="8" max="8" width="6.8984375" bestFit="1" customWidth="1"/>
    <col min="9" max="9" width="5.69921875" bestFit="1" customWidth="1"/>
    <col min="10" max="10" width="7.3984375" bestFit="1" customWidth="1"/>
    <col min="11" max="11" width="5.296875" bestFit="1" customWidth="1"/>
    <col min="12" max="12" width="5.09765625" customWidth="1"/>
    <col min="13" max="13" width="5.8984375" customWidth="1"/>
    <col min="14" max="14" width="15.296875" bestFit="1" customWidth="1"/>
    <col min="15" max="15" width="10.8984375" customWidth="1"/>
    <col min="17" max="17" width="24.8984375" bestFit="1" customWidth="1"/>
    <col min="19" max="19" width="11.8984375" bestFit="1" customWidth="1"/>
    <col min="20" max="20" width="12.3984375" bestFit="1" customWidth="1"/>
  </cols>
  <sheetData>
    <row r="1" spans="1:20" x14ac:dyDescent="0.25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39</v>
      </c>
      <c r="T1">
        <f>SUM(T6:T219)</f>
        <v>131.84685812568949</v>
      </c>
    </row>
    <row r="2" spans="1:2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25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36</v>
      </c>
      <c r="R3">
        <f>SUM(R224:R306)</f>
        <v>41</v>
      </c>
    </row>
    <row r="4" spans="1:20" x14ac:dyDescent="0.25">
      <c r="A4">
        <f>INDEX(LINEST($N6:$N219, $A6:$M219), 1, A1)</f>
        <v>-1.0537637945556705E-3</v>
      </c>
      <c r="B4">
        <f t="shared" ref="B4:N4" si="1">INDEX(LINEST($N6:$N219, $A6:$M219), 1, B1)</f>
        <v>0.11219144928248172</v>
      </c>
      <c r="C4">
        <f t="shared" si="1"/>
        <v>0.10326991889521805</v>
      </c>
      <c r="D4">
        <f t="shared" si="1"/>
        <v>2.3955723505184488E-3</v>
      </c>
      <c r="E4">
        <f t="shared" si="1"/>
        <v>1.117783606677391E-4</v>
      </c>
      <c r="F4">
        <f t="shared" si="1"/>
        <v>-6.789020847422915E-2</v>
      </c>
      <c r="G4">
        <f t="shared" si="1"/>
        <v>2.1567322275336007E-2</v>
      </c>
      <c r="H4">
        <f t="shared" si="1"/>
        <v>-2.6475944947249022E-3</v>
      </c>
      <c r="I4">
        <f t="shared" si="1"/>
        <v>0.12454064278091105</v>
      </c>
      <c r="J4">
        <f t="shared" si="1"/>
        <v>3.1788647213536296E-2</v>
      </c>
      <c r="K4">
        <f t="shared" si="1"/>
        <v>8.6936423828833237E-2</v>
      </c>
      <c r="L4">
        <f t="shared" si="1"/>
        <v>0.15681921554991854</v>
      </c>
      <c r="M4">
        <f t="shared" si="1"/>
        <v>5.25396442585086E-2</v>
      </c>
      <c r="N4">
        <f t="shared" si="1"/>
        <v>-0.41230695948282103</v>
      </c>
      <c r="Q4" t="s">
        <v>37</v>
      </c>
      <c r="R4" s="3">
        <f>1-R3/(306-224+1)</f>
        <v>0.50602409638554224</v>
      </c>
    </row>
    <row r="5" spans="1:2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25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 t="shared" ref="O6:O69" si="2">SUMPRODUCT(A$4:M$4, A6:M6)+N$4</f>
        <v>1.1889896581837742</v>
      </c>
      <c r="P6">
        <f t="shared" ref="P6:P69" si="3">1/(1+EXP(0-O6))</f>
        <v>0.7665603167022621</v>
      </c>
      <c r="Q6">
        <f t="shared" ref="Q6:Q69" si="4">IF(P6&lt;=0.5, 0, 1)</f>
        <v>1</v>
      </c>
      <c r="R6">
        <f t="shared" ref="R6:R69" si="5">IF(N6=Q6, 0, 1)</f>
        <v>0</v>
      </c>
      <c r="S6">
        <f t="shared" ref="S6:S69" si="6">IF(N6=1, P6, 1-P6)</f>
        <v>0.7665603167022621</v>
      </c>
      <c r="T6">
        <f>IF(S6=0, 100000, -LN(S6))</f>
        <v>0.26584189270002195</v>
      </c>
    </row>
    <row r="7" spans="1:20" x14ac:dyDescent="0.25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si="2"/>
        <v>0.22435768662020439</v>
      </c>
      <c r="P7">
        <f t="shared" si="3"/>
        <v>0.5558553217942177</v>
      </c>
      <c r="Q7">
        <f t="shared" si="4"/>
        <v>1</v>
      </c>
      <c r="R7">
        <f t="shared" si="5"/>
        <v>1</v>
      </c>
      <c r="S7">
        <f t="shared" si="6"/>
        <v>0.4441446782057823</v>
      </c>
      <c r="T7">
        <f t="shared" ref="T7:T70" si="7">IF(S7=0, 100000, -LN(S7))</f>
        <v>0.81160491781325983</v>
      </c>
    </row>
    <row r="8" spans="1:20" x14ac:dyDescent="0.25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2"/>
        <v>0.11433478158994714</v>
      </c>
      <c r="P8">
        <f t="shared" si="3"/>
        <v>0.52855259782328967</v>
      </c>
      <c r="Q8">
        <f t="shared" si="4"/>
        <v>1</v>
      </c>
      <c r="R8">
        <f t="shared" si="5"/>
        <v>1</v>
      </c>
      <c r="S8">
        <f t="shared" si="6"/>
        <v>0.47144740217671033</v>
      </c>
      <c r="T8">
        <f t="shared" si="7"/>
        <v>0.75194773736941578</v>
      </c>
    </row>
    <row r="9" spans="1:20" x14ac:dyDescent="0.25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2"/>
        <v>6.8372374964084659E-3</v>
      </c>
      <c r="P9">
        <f t="shared" si="3"/>
        <v>0.50170930271525982</v>
      </c>
      <c r="Q9">
        <f t="shared" si="4"/>
        <v>1</v>
      </c>
      <c r="R9">
        <f t="shared" si="5"/>
        <v>1</v>
      </c>
      <c r="S9">
        <f t="shared" si="6"/>
        <v>0.49829069728474018</v>
      </c>
      <c r="T9">
        <f t="shared" si="7"/>
        <v>0.69657164277384032</v>
      </c>
    </row>
    <row r="10" spans="1:20" x14ac:dyDescent="0.25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2"/>
        <v>0.19794474400999285</v>
      </c>
      <c r="P10">
        <f t="shared" si="3"/>
        <v>0.54932523546465983</v>
      </c>
      <c r="Q10">
        <f t="shared" si="4"/>
        <v>1</v>
      </c>
      <c r="R10">
        <f t="shared" si="5"/>
        <v>1</v>
      </c>
      <c r="S10">
        <f t="shared" si="6"/>
        <v>0.45067476453534017</v>
      </c>
      <c r="T10">
        <f t="shared" si="7"/>
        <v>0.79700934256526523</v>
      </c>
    </row>
    <row r="11" spans="1:20" x14ac:dyDescent="0.25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2"/>
        <v>0.20263166113601305</v>
      </c>
      <c r="P11">
        <f t="shared" si="3"/>
        <v>0.55048529126679402</v>
      </c>
      <c r="Q11">
        <f t="shared" si="4"/>
        <v>1</v>
      </c>
      <c r="R11">
        <f t="shared" si="5"/>
        <v>1</v>
      </c>
      <c r="S11">
        <f t="shared" si="6"/>
        <v>0.44951470873320598</v>
      </c>
      <c r="T11">
        <f t="shared" si="7"/>
        <v>0.79958670317378033</v>
      </c>
    </row>
    <row r="12" spans="1:20" x14ac:dyDescent="0.25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2"/>
        <v>0.92235458741473075</v>
      </c>
      <c r="P12">
        <f t="shared" si="3"/>
        <v>0.7155216260966738</v>
      </c>
      <c r="Q12">
        <f t="shared" si="4"/>
        <v>1</v>
      </c>
      <c r="R12">
        <f t="shared" si="5"/>
        <v>0</v>
      </c>
      <c r="S12">
        <f t="shared" si="6"/>
        <v>0.7155216260966738</v>
      </c>
      <c r="T12">
        <f t="shared" si="7"/>
        <v>0.33474345528981825</v>
      </c>
    </row>
    <row r="13" spans="1:20" x14ac:dyDescent="0.25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2"/>
        <v>0.3891230654135458</v>
      </c>
      <c r="P13">
        <f t="shared" si="3"/>
        <v>0.59607157733563076</v>
      </c>
      <c r="Q13">
        <f t="shared" si="4"/>
        <v>1</v>
      </c>
      <c r="R13">
        <f t="shared" si="5"/>
        <v>1</v>
      </c>
      <c r="S13">
        <f t="shared" si="6"/>
        <v>0.40392842266436924</v>
      </c>
      <c r="T13">
        <f t="shared" si="7"/>
        <v>0.90651758834058138</v>
      </c>
    </row>
    <row r="14" spans="1:20" x14ac:dyDescent="0.25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2"/>
        <v>0.27846322834294801</v>
      </c>
      <c r="P14">
        <f t="shared" si="3"/>
        <v>0.5691694236965027</v>
      </c>
      <c r="Q14">
        <f t="shared" si="4"/>
        <v>1</v>
      </c>
      <c r="R14">
        <f t="shared" si="5"/>
        <v>1</v>
      </c>
      <c r="S14">
        <f t="shared" si="6"/>
        <v>0.4308305763034973</v>
      </c>
      <c r="T14">
        <f t="shared" si="7"/>
        <v>0.84204036058369569</v>
      </c>
    </row>
    <row r="15" spans="1:20" x14ac:dyDescent="0.25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2"/>
        <v>0.12505092076443014</v>
      </c>
      <c r="P15">
        <f t="shared" si="3"/>
        <v>0.53122205394661215</v>
      </c>
      <c r="Q15">
        <f t="shared" si="4"/>
        <v>1</v>
      </c>
      <c r="R15">
        <f t="shared" si="5"/>
        <v>0</v>
      </c>
      <c r="S15">
        <f t="shared" si="6"/>
        <v>0.53122205394661215</v>
      </c>
      <c r="T15">
        <f t="shared" si="7"/>
        <v>0.63257516446295592</v>
      </c>
    </row>
    <row r="16" spans="1:20" x14ac:dyDescent="0.25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2"/>
        <v>0.77531735932108292</v>
      </c>
      <c r="P16">
        <f t="shared" si="3"/>
        <v>0.68467002125867271</v>
      </c>
      <c r="Q16">
        <f t="shared" si="4"/>
        <v>1</v>
      </c>
      <c r="R16">
        <f t="shared" si="5"/>
        <v>0</v>
      </c>
      <c r="S16">
        <f t="shared" si="6"/>
        <v>0.68467002125867271</v>
      </c>
      <c r="T16">
        <f t="shared" si="7"/>
        <v>0.37881827757490583</v>
      </c>
    </row>
    <row r="17" spans="1:20" x14ac:dyDescent="0.25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2"/>
        <v>-1.4095176669969955E-2</v>
      </c>
      <c r="P17">
        <f t="shared" si="3"/>
        <v>0.49647626417187363</v>
      </c>
      <c r="Q17">
        <f t="shared" si="4"/>
        <v>0</v>
      </c>
      <c r="R17">
        <f t="shared" si="5"/>
        <v>0</v>
      </c>
      <c r="S17">
        <f t="shared" si="6"/>
        <v>0.50352373582812637</v>
      </c>
      <c r="T17">
        <f t="shared" si="7"/>
        <v>0.68612442627005288</v>
      </c>
    </row>
    <row r="18" spans="1:20" x14ac:dyDescent="0.25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2"/>
        <v>0.62092652680021598</v>
      </c>
      <c r="P18">
        <f t="shared" si="3"/>
        <v>0.65042924328940732</v>
      </c>
      <c r="Q18">
        <f t="shared" si="4"/>
        <v>1</v>
      </c>
      <c r="R18">
        <f t="shared" si="5"/>
        <v>0</v>
      </c>
      <c r="S18">
        <f t="shared" si="6"/>
        <v>0.65042924328940732</v>
      </c>
      <c r="T18">
        <f t="shared" si="7"/>
        <v>0.43012275975221315</v>
      </c>
    </row>
    <row r="19" spans="1:20" x14ac:dyDescent="0.25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2"/>
        <v>1.2855066885762803</v>
      </c>
      <c r="P19">
        <f t="shared" si="3"/>
        <v>0.78338567861506925</v>
      </c>
      <c r="Q19">
        <f t="shared" si="4"/>
        <v>1</v>
      </c>
      <c r="R19">
        <f t="shared" si="5"/>
        <v>0</v>
      </c>
      <c r="S19">
        <f t="shared" si="6"/>
        <v>0.78338567861506925</v>
      </c>
      <c r="T19">
        <f t="shared" si="7"/>
        <v>0.24413013898073216</v>
      </c>
    </row>
    <row r="20" spans="1:20" x14ac:dyDescent="0.25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2"/>
        <v>0.80833943555445753</v>
      </c>
      <c r="P20">
        <f t="shared" si="3"/>
        <v>0.69175553524578659</v>
      </c>
      <c r="Q20">
        <f t="shared" si="4"/>
        <v>1</v>
      </c>
      <c r="R20">
        <f t="shared" si="5"/>
        <v>0</v>
      </c>
      <c r="S20">
        <f t="shared" si="6"/>
        <v>0.69175553524578659</v>
      </c>
      <c r="T20">
        <f t="shared" si="7"/>
        <v>0.36852265854619576</v>
      </c>
    </row>
    <row r="21" spans="1:20" x14ac:dyDescent="0.25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2"/>
        <v>1.0281593865597476</v>
      </c>
      <c r="P21">
        <f t="shared" si="3"/>
        <v>0.73655889895090687</v>
      </c>
      <c r="Q21">
        <f t="shared" si="4"/>
        <v>1</v>
      </c>
      <c r="R21">
        <f t="shared" si="5"/>
        <v>0</v>
      </c>
      <c r="S21">
        <f t="shared" si="6"/>
        <v>0.73655889895090687</v>
      </c>
      <c r="T21">
        <f t="shared" si="7"/>
        <v>0.30576607485689128</v>
      </c>
    </row>
    <row r="22" spans="1:20" x14ac:dyDescent="0.25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2"/>
        <v>0.10853253306259858</v>
      </c>
      <c r="P22">
        <f t="shared" si="3"/>
        <v>0.52710653046748157</v>
      </c>
      <c r="Q22">
        <f t="shared" si="4"/>
        <v>1</v>
      </c>
      <c r="R22">
        <f t="shared" si="5"/>
        <v>1</v>
      </c>
      <c r="S22">
        <f t="shared" si="6"/>
        <v>0.47289346953251843</v>
      </c>
      <c r="T22">
        <f t="shared" si="7"/>
        <v>0.74888513883235541</v>
      </c>
    </row>
    <row r="23" spans="1:20" x14ac:dyDescent="0.25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2"/>
        <v>0.695404133929024</v>
      </c>
      <c r="P23">
        <f t="shared" si="3"/>
        <v>0.66716802305731038</v>
      </c>
      <c r="Q23">
        <f t="shared" si="4"/>
        <v>1</v>
      </c>
      <c r="R23">
        <f t="shared" si="5"/>
        <v>0</v>
      </c>
      <c r="S23">
        <f t="shared" si="6"/>
        <v>0.66716802305731038</v>
      </c>
      <c r="T23">
        <f t="shared" si="7"/>
        <v>0.40471335615851539</v>
      </c>
    </row>
    <row r="24" spans="1:20" x14ac:dyDescent="0.25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2"/>
        <v>0.95986594736469422</v>
      </c>
      <c r="P24">
        <f t="shared" si="3"/>
        <v>0.72309496475071711</v>
      </c>
      <c r="Q24">
        <f t="shared" si="4"/>
        <v>1</v>
      </c>
      <c r="R24">
        <f t="shared" si="5"/>
        <v>0</v>
      </c>
      <c r="S24">
        <f t="shared" si="6"/>
        <v>0.72309496475071711</v>
      </c>
      <c r="T24">
        <f t="shared" si="7"/>
        <v>0.32421471724586409</v>
      </c>
    </row>
    <row r="25" spans="1:20" x14ac:dyDescent="0.25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2"/>
        <v>1.285568513698343E-2</v>
      </c>
      <c r="P25">
        <f t="shared" si="3"/>
        <v>0.50321387702161069</v>
      </c>
      <c r="Q25">
        <f t="shared" si="4"/>
        <v>1</v>
      </c>
      <c r="R25">
        <f t="shared" si="5"/>
        <v>1</v>
      </c>
      <c r="S25">
        <f t="shared" si="6"/>
        <v>0.49678612297838931</v>
      </c>
      <c r="T25">
        <f t="shared" si="7"/>
        <v>0.69959568156622232</v>
      </c>
    </row>
    <row r="26" spans="1:20" x14ac:dyDescent="0.25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2"/>
        <v>0.70311626921878667</v>
      </c>
      <c r="P26">
        <f t="shared" si="3"/>
        <v>0.66887832667946945</v>
      </c>
      <c r="Q26">
        <f t="shared" si="4"/>
        <v>1</v>
      </c>
      <c r="R26">
        <f t="shared" si="5"/>
        <v>0</v>
      </c>
      <c r="S26">
        <f t="shared" si="6"/>
        <v>0.66887832667946945</v>
      </c>
      <c r="T26">
        <f t="shared" si="7"/>
        <v>0.40215310881869781</v>
      </c>
    </row>
    <row r="27" spans="1:20" x14ac:dyDescent="0.25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2"/>
        <v>0.93200174625376375</v>
      </c>
      <c r="P27">
        <f t="shared" si="3"/>
        <v>0.71748121988478664</v>
      </c>
      <c r="Q27">
        <f t="shared" si="4"/>
        <v>1</v>
      </c>
      <c r="R27">
        <f t="shared" si="5"/>
        <v>0</v>
      </c>
      <c r="S27">
        <f t="shared" si="6"/>
        <v>0.71748121988478664</v>
      </c>
      <c r="T27">
        <f t="shared" si="7"/>
        <v>0.33200850606751986</v>
      </c>
    </row>
    <row r="28" spans="1:20" x14ac:dyDescent="0.25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2"/>
        <v>0.58815788060225738</v>
      </c>
      <c r="P28">
        <f t="shared" si="3"/>
        <v>0.64294236643110825</v>
      </c>
      <c r="Q28">
        <f t="shared" si="4"/>
        <v>1</v>
      </c>
      <c r="R28">
        <f t="shared" si="5"/>
        <v>0</v>
      </c>
      <c r="S28">
        <f t="shared" si="6"/>
        <v>0.64294236643110825</v>
      </c>
      <c r="T28">
        <f t="shared" si="7"/>
        <v>0.44170019106171948</v>
      </c>
    </row>
    <row r="29" spans="1:20" x14ac:dyDescent="0.25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2"/>
        <v>8.102940758501892E-2</v>
      </c>
      <c r="P29">
        <f t="shared" si="3"/>
        <v>0.52024627541792667</v>
      </c>
      <c r="Q29">
        <f t="shared" si="4"/>
        <v>1</v>
      </c>
      <c r="R29">
        <f t="shared" si="5"/>
        <v>1</v>
      </c>
      <c r="S29">
        <f t="shared" si="6"/>
        <v>0.47975372458207333</v>
      </c>
      <c r="T29">
        <f t="shared" si="7"/>
        <v>0.73448238053494197</v>
      </c>
    </row>
    <row r="30" spans="1:20" x14ac:dyDescent="0.25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2"/>
        <v>0.65279084004846855</v>
      </c>
      <c r="P30">
        <f t="shared" si="3"/>
        <v>0.65763909623061989</v>
      </c>
      <c r="Q30">
        <f t="shared" si="4"/>
        <v>1</v>
      </c>
      <c r="R30">
        <f t="shared" si="5"/>
        <v>0</v>
      </c>
      <c r="S30">
        <f t="shared" si="6"/>
        <v>0.65763909623061989</v>
      </c>
      <c r="T30">
        <f t="shared" si="7"/>
        <v>0.41909898410197693</v>
      </c>
    </row>
    <row r="31" spans="1:20" x14ac:dyDescent="0.25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2"/>
        <v>0.87342143852704934</v>
      </c>
      <c r="P31">
        <f t="shared" si="3"/>
        <v>0.70545712911757308</v>
      </c>
      <c r="Q31">
        <f t="shared" si="4"/>
        <v>1</v>
      </c>
      <c r="R31">
        <f t="shared" si="5"/>
        <v>0</v>
      </c>
      <c r="S31">
        <f t="shared" si="6"/>
        <v>0.70545712911757308</v>
      </c>
      <c r="T31">
        <f t="shared" si="7"/>
        <v>0.34890927620101886</v>
      </c>
    </row>
    <row r="32" spans="1:20" x14ac:dyDescent="0.25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2"/>
        <v>0.14414834020497991</v>
      </c>
      <c r="P32">
        <f t="shared" si="3"/>
        <v>0.53597481399246683</v>
      </c>
      <c r="Q32">
        <f t="shared" si="4"/>
        <v>1</v>
      </c>
      <c r="R32">
        <f t="shared" si="5"/>
        <v>0</v>
      </c>
      <c r="S32">
        <f t="shared" si="6"/>
        <v>0.53597481399246683</v>
      </c>
      <c r="T32">
        <f t="shared" si="7"/>
        <v>0.62366810783536886</v>
      </c>
    </row>
    <row r="33" spans="1:20" x14ac:dyDescent="0.25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2"/>
        <v>1.4764626251387414E-2</v>
      </c>
      <c r="P33">
        <f t="shared" si="3"/>
        <v>0.50369108951008534</v>
      </c>
      <c r="Q33">
        <f t="shared" si="4"/>
        <v>1</v>
      </c>
      <c r="R33">
        <f t="shared" si="5"/>
        <v>1</v>
      </c>
      <c r="S33">
        <f t="shared" si="6"/>
        <v>0.49630891048991466</v>
      </c>
      <c r="T33">
        <f t="shared" si="7"/>
        <v>0.70055674271167789</v>
      </c>
    </row>
    <row r="34" spans="1:20" x14ac:dyDescent="0.25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2"/>
        <v>-3.7031718087799703E-2</v>
      </c>
      <c r="P34">
        <f t="shared" si="3"/>
        <v>0.49074312832002265</v>
      </c>
      <c r="Q34">
        <f t="shared" si="4"/>
        <v>0</v>
      </c>
      <c r="R34">
        <f t="shared" si="5"/>
        <v>0</v>
      </c>
      <c r="S34">
        <f t="shared" si="6"/>
        <v>0.50925687167997735</v>
      </c>
      <c r="T34">
        <f t="shared" si="7"/>
        <v>0.67480273024023807</v>
      </c>
    </row>
    <row r="35" spans="1:20" x14ac:dyDescent="0.25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2"/>
        <v>0.34355456098216686</v>
      </c>
      <c r="P35">
        <f t="shared" si="3"/>
        <v>0.58505370906952725</v>
      </c>
      <c r="Q35">
        <f t="shared" si="4"/>
        <v>1</v>
      </c>
      <c r="R35">
        <f t="shared" si="5"/>
        <v>1</v>
      </c>
      <c r="S35">
        <f t="shared" si="6"/>
        <v>0.41494629093047275</v>
      </c>
      <c r="T35">
        <f t="shared" si="7"/>
        <v>0.87960618657150169</v>
      </c>
    </row>
    <row r="36" spans="1:20" x14ac:dyDescent="0.25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2"/>
        <v>8.0490544526084451E-2</v>
      </c>
      <c r="P36">
        <f t="shared" si="3"/>
        <v>0.520111779075352</v>
      </c>
      <c r="Q36">
        <f t="shared" si="4"/>
        <v>1</v>
      </c>
      <c r="R36">
        <f t="shared" si="5"/>
        <v>1</v>
      </c>
      <c r="S36">
        <f t="shared" si="6"/>
        <v>0.479888220924648</v>
      </c>
      <c r="T36">
        <f t="shared" si="7"/>
        <v>0.73420207527299497</v>
      </c>
    </row>
    <row r="37" spans="1:20" x14ac:dyDescent="0.25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2"/>
        <v>0.91083672033455021</v>
      </c>
      <c r="P37">
        <f t="shared" si="3"/>
        <v>0.71317135109360719</v>
      </c>
      <c r="Q37">
        <f t="shared" si="4"/>
        <v>1</v>
      </c>
      <c r="R37">
        <f t="shared" si="5"/>
        <v>0</v>
      </c>
      <c r="S37">
        <f t="shared" si="6"/>
        <v>0.71317135109360719</v>
      </c>
      <c r="T37">
        <f t="shared" si="7"/>
        <v>0.33803356332659917</v>
      </c>
    </row>
    <row r="38" spans="1:20" x14ac:dyDescent="0.25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2"/>
        <v>0.22631281883916643</v>
      </c>
      <c r="P38">
        <f t="shared" si="3"/>
        <v>0.55633795233509209</v>
      </c>
      <c r="Q38">
        <f t="shared" si="4"/>
        <v>1</v>
      </c>
      <c r="R38">
        <f t="shared" si="5"/>
        <v>1</v>
      </c>
      <c r="S38">
        <f t="shared" si="6"/>
        <v>0.44366204766490791</v>
      </c>
      <c r="T38">
        <f t="shared" si="7"/>
        <v>0.81269216028248992</v>
      </c>
    </row>
    <row r="39" spans="1:20" x14ac:dyDescent="0.25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2"/>
        <v>0.13922591274185159</v>
      </c>
      <c r="P39">
        <f t="shared" si="3"/>
        <v>0.53475036331200021</v>
      </c>
      <c r="Q39">
        <f t="shared" si="4"/>
        <v>1</v>
      </c>
      <c r="R39">
        <f t="shared" si="5"/>
        <v>1</v>
      </c>
      <c r="S39">
        <f t="shared" si="6"/>
        <v>0.46524963668799979</v>
      </c>
      <c r="T39">
        <f t="shared" si="7"/>
        <v>0.76518116435637462</v>
      </c>
    </row>
    <row r="40" spans="1:20" x14ac:dyDescent="0.25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2"/>
        <v>0.35059701907588581</v>
      </c>
      <c r="P40">
        <f t="shared" si="3"/>
        <v>0.58676234699741392</v>
      </c>
      <c r="Q40">
        <f t="shared" si="4"/>
        <v>1</v>
      </c>
      <c r="R40">
        <f t="shared" si="5"/>
        <v>0</v>
      </c>
      <c r="S40">
        <f t="shared" si="6"/>
        <v>0.58676234699741392</v>
      </c>
      <c r="T40">
        <f t="shared" si="7"/>
        <v>0.53313540144315308</v>
      </c>
    </row>
    <row r="41" spans="1:20" x14ac:dyDescent="0.25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2"/>
        <v>-0.12931580382280217</v>
      </c>
      <c r="P41">
        <f t="shared" si="3"/>
        <v>0.46771602578106092</v>
      </c>
      <c r="Q41">
        <f t="shared" si="4"/>
        <v>0</v>
      </c>
      <c r="R41">
        <f t="shared" si="5"/>
        <v>0</v>
      </c>
      <c r="S41">
        <f t="shared" si="6"/>
        <v>0.53228397421893914</v>
      </c>
      <c r="T41">
        <f t="shared" si="7"/>
        <v>0.63057814592780481</v>
      </c>
    </row>
    <row r="42" spans="1:20" x14ac:dyDescent="0.25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2"/>
        <v>3.3374566382134929E-2</v>
      </c>
      <c r="P42">
        <f t="shared" si="3"/>
        <v>0.50834286720990152</v>
      </c>
      <c r="Q42">
        <f t="shared" si="4"/>
        <v>1</v>
      </c>
      <c r="R42">
        <f t="shared" si="5"/>
        <v>1</v>
      </c>
      <c r="S42">
        <f t="shared" si="6"/>
        <v>0.49165713279009848</v>
      </c>
      <c r="T42">
        <f t="shared" si="7"/>
        <v>0.7099736899997261</v>
      </c>
    </row>
    <row r="43" spans="1:20" x14ac:dyDescent="0.25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2"/>
        <v>0.18643034572398287</v>
      </c>
      <c r="P43">
        <f t="shared" si="3"/>
        <v>0.54647306179952748</v>
      </c>
      <c r="Q43">
        <f t="shared" si="4"/>
        <v>1</v>
      </c>
      <c r="R43">
        <f t="shared" si="5"/>
        <v>1</v>
      </c>
      <c r="S43">
        <f t="shared" si="6"/>
        <v>0.45352693820047252</v>
      </c>
      <c r="T43">
        <f t="shared" si="7"/>
        <v>0.7907006105285318</v>
      </c>
    </row>
    <row r="44" spans="1:20" x14ac:dyDescent="0.25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2"/>
        <v>0.91917810083516405</v>
      </c>
      <c r="P44">
        <f t="shared" si="3"/>
        <v>0.71487460848646878</v>
      </c>
      <c r="Q44">
        <f t="shared" si="4"/>
        <v>1</v>
      </c>
      <c r="R44">
        <f t="shared" si="5"/>
        <v>0</v>
      </c>
      <c r="S44">
        <f t="shared" si="6"/>
        <v>0.71487460848646878</v>
      </c>
      <c r="T44">
        <f t="shared" si="7"/>
        <v>0.33564812441392511</v>
      </c>
    </row>
    <row r="45" spans="1:20" x14ac:dyDescent="0.25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2"/>
        <v>0.60010663514398499</v>
      </c>
      <c r="P45">
        <f t="shared" si="3"/>
        <v>0.64568070228727337</v>
      </c>
      <c r="Q45">
        <f t="shared" si="4"/>
        <v>1</v>
      </c>
      <c r="R45">
        <f t="shared" si="5"/>
        <v>0</v>
      </c>
      <c r="S45">
        <f t="shared" si="6"/>
        <v>0.64568070228727337</v>
      </c>
      <c r="T45">
        <f t="shared" si="7"/>
        <v>0.43745016629582528</v>
      </c>
    </row>
    <row r="46" spans="1:20" x14ac:dyDescent="0.25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2"/>
        <v>9.2066765845068232E-2</v>
      </c>
      <c r="P46">
        <f t="shared" si="3"/>
        <v>0.52300044721878158</v>
      </c>
      <c r="Q46">
        <f t="shared" si="4"/>
        <v>1</v>
      </c>
      <c r="R46">
        <f t="shared" si="5"/>
        <v>1</v>
      </c>
      <c r="S46">
        <f t="shared" si="6"/>
        <v>0.47699955278121842</v>
      </c>
      <c r="T46">
        <f t="shared" si="7"/>
        <v>0.74023972565981522</v>
      </c>
    </row>
    <row r="47" spans="1:20" x14ac:dyDescent="0.25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2"/>
        <v>0.31164258043431281</v>
      </c>
      <c r="P47">
        <f t="shared" si="3"/>
        <v>0.57728614566571645</v>
      </c>
      <c r="Q47">
        <f t="shared" si="4"/>
        <v>1</v>
      </c>
      <c r="R47">
        <f t="shared" si="5"/>
        <v>1</v>
      </c>
      <c r="S47">
        <f t="shared" si="6"/>
        <v>0.42271385433428355</v>
      </c>
      <c r="T47">
        <f t="shared" si="7"/>
        <v>0.86105979613793548</v>
      </c>
    </row>
    <row r="48" spans="1:20" x14ac:dyDescent="0.25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2"/>
        <v>0.52671200132303775</v>
      </c>
      <c r="P48">
        <f t="shared" si="3"/>
        <v>0.6287159125406605</v>
      </c>
      <c r="Q48">
        <f t="shared" si="4"/>
        <v>1</v>
      </c>
      <c r="R48">
        <f t="shared" si="5"/>
        <v>1</v>
      </c>
      <c r="S48">
        <f t="shared" si="6"/>
        <v>0.3712840874593395</v>
      </c>
      <c r="T48">
        <f t="shared" si="7"/>
        <v>0.9907877750079539</v>
      </c>
    </row>
    <row r="49" spans="1:20" x14ac:dyDescent="0.25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2"/>
        <v>0.96795744527711403</v>
      </c>
      <c r="P49">
        <f t="shared" si="3"/>
        <v>0.72471218615949007</v>
      </c>
      <c r="Q49">
        <f t="shared" si="4"/>
        <v>1</v>
      </c>
      <c r="R49">
        <f t="shared" si="5"/>
        <v>0</v>
      </c>
      <c r="S49">
        <f t="shared" si="6"/>
        <v>0.72471218615949007</v>
      </c>
      <c r="T49">
        <f t="shared" si="7"/>
        <v>0.32198068755431225</v>
      </c>
    </row>
    <row r="50" spans="1:20" x14ac:dyDescent="0.25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2"/>
        <v>0.7510540996091235</v>
      </c>
      <c r="P50">
        <f t="shared" si="3"/>
        <v>0.67940833880934193</v>
      </c>
      <c r="Q50">
        <f t="shared" si="4"/>
        <v>1</v>
      </c>
      <c r="R50">
        <f t="shared" si="5"/>
        <v>1</v>
      </c>
      <c r="S50">
        <f t="shared" si="6"/>
        <v>0.32059166119065807</v>
      </c>
      <c r="T50">
        <f t="shared" si="7"/>
        <v>1.1375870491553746</v>
      </c>
    </row>
    <row r="51" spans="1:20" x14ac:dyDescent="0.25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2"/>
        <v>0.61890692299714112</v>
      </c>
      <c r="P51">
        <f t="shared" si="3"/>
        <v>0.64996990447229774</v>
      </c>
      <c r="Q51">
        <f t="shared" si="4"/>
        <v>1</v>
      </c>
      <c r="R51">
        <f t="shared" si="5"/>
        <v>1</v>
      </c>
      <c r="S51">
        <f t="shared" si="6"/>
        <v>0.35003009552770226</v>
      </c>
      <c r="T51">
        <f t="shared" si="7"/>
        <v>1.0497361409733605</v>
      </c>
    </row>
    <row r="52" spans="1:20" x14ac:dyDescent="0.25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2"/>
        <v>1.0330275242080533</v>
      </c>
      <c r="P52">
        <f t="shared" si="3"/>
        <v>0.73750242340434391</v>
      </c>
      <c r="Q52">
        <f t="shared" si="4"/>
        <v>1</v>
      </c>
      <c r="R52">
        <f t="shared" si="5"/>
        <v>0</v>
      </c>
      <c r="S52">
        <f t="shared" si="6"/>
        <v>0.73750242340434391</v>
      </c>
      <c r="T52">
        <f t="shared" si="7"/>
        <v>0.30448590480156923</v>
      </c>
    </row>
    <row r="53" spans="1:20" x14ac:dyDescent="0.25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2"/>
        <v>0.36222927075445943</v>
      </c>
      <c r="P53">
        <f t="shared" si="3"/>
        <v>0.58957997032652176</v>
      </c>
      <c r="Q53">
        <f t="shared" si="4"/>
        <v>1</v>
      </c>
      <c r="R53">
        <f t="shared" si="5"/>
        <v>1</v>
      </c>
      <c r="S53">
        <f t="shared" si="6"/>
        <v>0.41042002967347824</v>
      </c>
      <c r="T53">
        <f t="shared" si="7"/>
        <v>0.89057418106924791</v>
      </c>
    </row>
    <row r="54" spans="1:20" x14ac:dyDescent="0.25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2"/>
        <v>2.3355864873880139E-2</v>
      </c>
      <c r="P54">
        <f t="shared" si="3"/>
        <v>0.50583870080501547</v>
      </c>
      <c r="Q54">
        <f t="shared" si="4"/>
        <v>1</v>
      </c>
      <c r="R54">
        <f t="shared" si="5"/>
        <v>1</v>
      </c>
      <c r="S54">
        <f t="shared" si="6"/>
        <v>0.49416129919498453</v>
      </c>
      <c r="T54">
        <f t="shared" si="7"/>
        <v>0.70489329850011773</v>
      </c>
    </row>
    <row r="55" spans="1:20" x14ac:dyDescent="0.25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2"/>
        <v>-0.19073327034961393</v>
      </c>
      <c r="P55">
        <f t="shared" si="3"/>
        <v>0.45246071512386898</v>
      </c>
      <c r="Q55">
        <f t="shared" si="4"/>
        <v>0</v>
      </c>
      <c r="R55">
        <f t="shared" si="5"/>
        <v>0</v>
      </c>
      <c r="S55">
        <f t="shared" si="6"/>
        <v>0.54753928487613102</v>
      </c>
      <c r="T55">
        <f t="shared" si="7"/>
        <v>0.60232106666720597</v>
      </c>
    </row>
    <row r="56" spans="1:20" x14ac:dyDescent="0.25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2"/>
        <v>0.223672364450753</v>
      </c>
      <c r="P56">
        <f t="shared" si="3"/>
        <v>0.55568612286146579</v>
      </c>
      <c r="Q56">
        <f t="shared" si="4"/>
        <v>1</v>
      </c>
      <c r="R56">
        <f t="shared" si="5"/>
        <v>1</v>
      </c>
      <c r="S56">
        <f t="shared" si="6"/>
        <v>0.44431387713853421</v>
      </c>
      <c r="T56">
        <f t="shared" si="7"/>
        <v>0.81122403581537794</v>
      </c>
    </row>
    <row r="57" spans="1:20" x14ac:dyDescent="0.25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2"/>
        <v>0.71264629921351497</v>
      </c>
      <c r="P57">
        <f t="shared" si="3"/>
        <v>0.67098563130064082</v>
      </c>
      <c r="Q57">
        <f t="shared" si="4"/>
        <v>1</v>
      </c>
      <c r="R57">
        <f t="shared" si="5"/>
        <v>0</v>
      </c>
      <c r="S57">
        <f t="shared" si="6"/>
        <v>0.67098563130064082</v>
      </c>
      <c r="T57">
        <f t="shared" si="7"/>
        <v>0.39900755609869076</v>
      </c>
    </row>
    <row r="58" spans="1:20" x14ac:dyDescent="0.25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2"/>
        <v>0.55816312156301273</v>
      </c>
      <c r="P58">
        <f t="shared" si="3"/>
        <v>0.63602741561862242</v>
      </c>
      <c r="Q58">
        <f t="shared" si="4"/>
        <v>1</v>
      </c>
      <c r="R58">
        <f t="shared" si="5"/>
        <v>0</v>
      </c>
      <c r="S58">
        <f t="shared" si="6"/>
        <v>0.63602741561862242</v>
      </c>
      <c r="T58">
        <f t="shared" si="7"/>
        <v>0.45251361025247688</v>
      </c>
    </row>
    <row r="59" spans="1:20" x14ac:dyDescent="0.25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2"/>
        <v>0.68648284456180986</v>
      </c>
      <c r="P59">
        <f t="shared" si="3"/>
        <v>0.66518406183602097</v>
      </c>
      <c r="Q59">
        <f t="shared" si="4"/>
        <v>1</v>
      </c>
      <c r="R59">
        <f t="shared" si="5"/>
        <v>0</v>
      </c>
      <c r="S59">
        <f t="shared" si="6"/>
        <v>0.66518406183602097</v>
      </c>
      <c r="T59">
        <f t="shared" si="7"/>
        <v>0.40769149190828469</v>
      </c>
    </row>
    <row r="60" spans="1:20" x14ac:dyDescent="0.25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2"/>
        <v>0.70737399289303515</v>
      </c>
      <c r="P60">
        <f t="shared" si="3"/>
        <v>0.66982064880224557</v>
      </c>
      <c r="Q60">
        <f t="shared" si="4"/>
        <v>1</v>
      </c>
      <c r="R60">
        <f t="shared" si="5"/>
        <v>0</v>
      </c>
      <c r="S60">
        <f t="shared" si="6"/>
        <v>0.66982064880224557</v>
      </c>
      <c r="T60">
        <f t="shared" si="7"/>
        <v>0.40074529078690552</v>
      </c>
    </row>
    <row r="61" spans="1:20" x14ac:dyDescent="0.25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2"/>
        <v>0.28884007365918585</v>
      </c>
      <c r="P61">
        <f t="shared" si="3"/>
        <v>0.57171214007410676</v>
      </c>
      <c r="Q61">
        <f t="shared" si="4"/>
        <v>1</v>
      </c>
      <c r="R61">
        <f t="shared" si="5"/>
        <v>1</v>
      </c>
      <c r="S61">
        <f t="shared" si="6"/>
        <v>0.42828785992589324</v>
      </c>
      <c r="T61">
        <f t="shared" si="7"/>
        <v>0.84795973955381654</v>
      </c>
    </row>
    <row r="62" spans="1:20" x14ac:dyDescent="0.25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2"/>
        <v>0.73665714117798808</v>
      </c>
      <c r="P62">
        <f t="shared" si="3"/>
        <v>0.67626443297183692</v>
      </c>
      <c r="Q62">
        <f t="shared" si="4"/>
        <v>1</v>
      </c>
      <c r="R62">
        <f t="shared" si="5"/>
        <v>0</v>
      </c>
      <c r="S62">
        <f t="shared" si="6"/>
        <v>0.67626443297183692</v>
      </c>
      <c r="T62">
        <f t="shared" si="7"/>
        <v>0.39117110639213692</v>
      </c>
    </row>
    <row r="63" spans="1:20" x14ac:dyDescent="0.25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2"/>
        <v>0.66661745861670041</v>
      </c>
      <c r="P63">
        <f t="shared" si="3"/>
        <v>0.66074533833052052</v>
      </c>
      <c r="Q63">
        <f t="shared" si="4"/>
        <v>1</v>
      </c>
      <c r="R63">
        <f t="shared" si="5"/>
        <v>1</v>
      </c>
      <c r="S63">
        <f t="shared" si="6"/>
        <v>0.33925466166947948</v>
      </c>
      <c r="T63">
        <f t="shared" si="7"/>
        <v>1.0810042392577215</v>
      </c>
    </row>
    <row r="64" spans="1:20" x14ac:dyDescent="0.25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2"/>
        <v>0.8373048675978394</v>
      </c>
      <c r="P64">
        <f t="shared" si="3"/>
        <v>0.69789728653216387</v>
      </c>
      <c r="Q64">
        <f t="shared" si="4"/>
        <v>1</v>
      </c>
      <c r="R64">
        <f t="shared" si="5"/>
        <v>0</v>
      </c>
      <c r="S64">
        <f t="shared" si="6"/>
        <v>0.69789728653216387</v>
      </c>
      <c r="T64">
        <f t="shared" si="7"/>
        <v>0.35968334101335292</v>
      </c>
    </row>
    <row r="65" spans="1:20" x14ac:dyDescent="0.25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2"/>
        <v>0.56692906325847225</v>
      </c>
      <c r="P65">
        <f t="shared" si="3"/>
        <v>0.63805427099198109</v>
      </c>
      <c r="Q65">
        <f t="shared" si="4"/>
        <v>1</v>
      </c>
      <c r="R65">
        <f t="shared" si="5"/>
        <v>0</v>
      </c>
      <c r="S65">
        <f t="shared" si="6"/>
        <v>0.63805427099198109</v>
      </c>
      <c r="T65">
        <f t="shared" si="7"/>
        <v>0.44933193500435131</v>
      </c>
    </row>
    <row r="66" spans="1:20" x14ac:dyDescent="0.25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2"/>
        <v>0.14439685999719187</v>
      </c>
      <c r="P66">
        <f t="shared" si="3"/>
        <v>0.53603662175646782</v>
      </c>
      <c r="Q66">
        <f t="shared" si="4"/>
        <v>1</v>
      </c>
      <c r="R66">
        <f t="shared" si="5"/>
        <v>1</v>
      </c>
      <c r="S66">
        <f t="shared" si="6"/>
        <v>0.46396337824353218</v>
      </c>
      <c r="T66">
        <f t="shared" si="7"/>
        <v>0.76794965607000221</v>
      </c>
    </row>
    <row r="67" spans="1:20" x14ac:dyDescent="0.25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2"/>
        <v>1.1977655563884644</v>
      </c>
      <c r="P67">
        <f t="shared" si="3"/>
        <v>0.76812704992653791</v>
      </c>
      <c r="Q67">
        <f t="shared" si="4"/>
        <v>1</v>
      </c>
      <c r="R67">
        <f t="shared" si="5"/>
        <v>0</v>
      </c>
      <c r="S67">
        <f t="shared" si="6"/>
        <v>0.76812704992653791</v>
      </c>
      <c r="T67">
        <f t="shared" si="7"/>
        <v>0.26380012992458468</v>
      </c>
    </row>
    <row r="68" spans="1:20" x14ac:dyDescent="0.25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2"/>
        <v>0.64992150064156795</v>
      </c>
      <c r="P68">
        <f t="shared" si="3"/>
        <v>0.65699277280445512</v>
      </c>
      <c r="Q68">
        <f t="shared" si="4"/>
        <v>1</v>
      </c>
      <c r="R68">
        <f t="shared" si="5"/>
        <v>0</v>
      </c>
      <c r="S68">
        <f t="shared" si="6"/>
        <v>0.65699277280445512</v>
      </c>
      <c r="T68">
        <f t="shared" si="7"/>
        <v>0.42008226085566325</v>
      </c>
    </row>
    <row r="69" spans="1:20" x14ac:dyDescent="0.25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2"/>
        <v>0.93001302629692417</v>
      </c>
      <c r="P69">
        <f t="shared" si="3"/>
        <v>0.71707792823874106</v>
      </c>
      <c r="Q69">
        <f t="shared" si="4"/>
        <v>1</v>
      </c>
      <c r="R69">
        <f t="shared" si="5"/>
        <v>0</v>
      </c>
      <c r="S69">
        <f t="shared" si="6"/>
        <v>0.71707792823874106</v>
      </c>
      <c r="T69">
        <f t="shared" si="7"/>
        <v>0.33257075776302836</v>
      </c>
    </row>
    <row r="70" spans="1:20" x14ac:dyDescent="0.25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ref="O70:O133" si="8">SUMPRODUCT(A$4:M$4, A70:M70)+N$4</f>
        <v>0.14273663915457657</v>
      </c>
      <c r="P70">
        <f t="shared" ref="P70:P133" si="9">1/(1+EXP(0-O70))</f>
        <v>0.53562369796199882</v>
      </c>
      <c r="Q70">
        <f t="shared" ref="Q70:Q133" si="10">IF(P70&lt;=0.5, 0, 1)</f>
        <v>1</v>
      </c>
      <c r="R70">
        <f t="shared" ref="R70:R133" si="11">IF(N70=Q70, 0, 1)</f>
        <v>0</v>
      </c>
      <c r="S70">
        <f t="shared" ref="S70:S133" si="12">IF(N70=1, P70, 1-P70)</f>
        <v>0.53562369796199882</v>
      </c>
      <c r="T70">
        <f t="shared" si="7"/>
        <v>0.62432342050912892</v>
      </c>
    </row>
    <row r="71" spans="1:20" x14ac:dyDescent="0.25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si="8"/>
        <v>-4.0023615411064861E-2</v>
      </c>
      <c r="P71">
        <f t="shared" si="9"/>
        <v>0.4899954316295736</v>
      </c>
      <c r="Q71">
        <f t="shared" si="10"/>
        <v>0</v>
      </c>
      <c r="R71">
        <f t="shared" si="11"/>
        <v>0</v>
      </c>
      <c r="S71">
        <f t="shared" si="12"/>
        <v>0.5100045683704264</v>
      </c>
      <c r="T71">
        <f t="shared" ref="T71:T134" si="13">IF(S71=0, 100000, -LN(S71))</f>
        <v>0.67333559571481316</v>
      </c>
    </row>
    <row r="72" spans="1:20" x14ac:dyDescent="0.25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8"/>
        <v>0.76680138129241748</v>
      </c>
      <c r="P72">
        <f t="shared" si="9"/>
        <v>0.68282856245917234</v>
      </c>
      <c r="Q72">
        <f t="shared" si="10"/>
        <v>1</v>
      </c>
      <c r="R72">
        <f t="shared" si="11"/>
        <v>0</v>
      </c>
      <c r="S72">
        <f t="shared" si="12"/>
        <v>0.68282856245917234</v>
      </c>
      <c r="T72">
        <f t="shared" si="13"/>
        <v>0.381511457567145</v>
      </c>
    </row>
    <row r="73" spans="1:20" x14ac:dyDescent="0.25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8"/>
        <v>0.16248007742947324</v>
      </c>
      <c r="P73">
        <f t="shared" si="9"/>
        <v>0.5405308913630188</v>
      </c>
      <c r="Q73">
        <f t="shared" si="10"/>
        <v>1</v>
      </c>
      <c r="R73">
        <f t="shared" si="11"/>
        <v>1</v>
      </c>
      <c r="S73">
        <f t="shared" si="12"/>
        <v>0.4594691086369812</v>
      </c>
      <c r="T73">
        <f t="shared" si="13"/>
        <v>0.77768356765745272</v>
      </c>
    </row>
    <row r="74" spans="1:20" x14ac:dyDescent="0.25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8"/>
        <v>0.27724269185131734</v>
      </c>
      <c r="P74">
        <f t="shared" si="9"/>
        <v>0.5688701038870243</v>
      </c>
      <c r="Q74">
        <f t="shared" si="10"/>
        <v>1</v>
      </c>
      <c r="R74">
        <f t="shared" si="11"/>
        <v>1</v>
      </c>
      <c r="S74">
        <f t="shared" si="12"/>
        <v>0.4311298961129757</v>
      </c>
      <c r="T74">
        <f t="shared" si="13"/>
        <v>0.84134585119239957</v>
      </c>
    </row>
    <row r="75" spans="1:20" x14ac:dyDescent="0.25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8"/>
        <v>7.1983041095492417E-2</v>
      </c>
      <c r="P75">
        <f t="shared" si="9"/>
        <v>0.5179879937914873</v>
      </c>
      <c r="Q75">
        <f t="shared" si="10"/>
        <v>1</v>
      </c>
      <c r="R75">
        <f t="shared" si="11"/>
        <v>1</v>
      </c>
      <c r="S75">
        <f t="shared" si="12"/>
        <v>0.4820120062085127</v>
      </c>
      <c r="T75">
        <f t="shared" si="13"/>
        <v>0.72978625609547243</v>
      </c>
    </row>
    <row r="76" spans="1:20" x14ac:dyDescent="0.25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8"/>
        <v>-0.15650808027619034</v>
      </c>
      <c r="P76">
        <f t="shared" si="9"/>
        <v>0.46095265209119629</v>
      </c>
      <c r="Q76">
        <f t="shared" si="10"/>
        <v>0</v>
      </c>
      <c r="R76">
        <f t="shared" si="11"/>
        <v>0</v>
      </c>
      <c r="S76">
        <f t="shared" si="12"/>
        <v>0.53904734790880371</v>
      </c>
      <c r="T76">
        <f t="shared" si="13"/>
        <v>0.61795186794454815</v>
      </c>
    </row>
    <row r="77" spans="1:20" x14ac:dyDescent="0.25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8"/>
        <v>0.172750634809965</v>
      </c>
      <c r="P77">
        <f t="shared" si="9"/>
        <v>0.54308057493586614</v>
      </c>
      <c r="Q77">
        <f t="shared" si="10"/>
        <v>1</v>
      </c>
      <c r="R77">
        <f t="shared" si="11"/>
        <v>0</v>
      </c>
      <c r="S77">
        <f t="shared" si="12"/>
        <v>0.54308057493586614</v>
      </c>
      <c r="T77">
        <f t="shared" si="13"/>
        <v>0.61049758159283884</v>
      </c>
    </row>
    <row r="78" spans="1:20" x14ac:dyDescent="0.25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8"/>
        <v>0.74500668224390543</v>
      </c>
      <c r="P78">
        <f t="shared" si="9"/>
        <v>0.67808970818066505</v>
      </c>
      <c r="Q78">
        <f t="shared" si="10"/>
        <v>1</v>
      </c>
      <c r="R78">
        <f t="shared" si="11"/>
        <v>0</v>
      </c>
      <c r="S78">
        <f t="shared" si="12"/>
        <v>0.67808970818066505</v>
      </c>
      <c r="T78">
        <f t="shared" si="13"/>
        <v>0.38847568684349448</v>
      </c>
    </row>
    <row r="79" spans="1:20" x14ac:dyDescent="0.25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8"/>
        <v>0.8240707252140913</v>
      </c>
      <c r="P79">
        <f t="shared" si="9"/>
        <v>0.69509975820256942</v>
      </c>
      <c r="Q79">
        <f t="shared" si="10"/>
        <v>1</v>
      </c>
      <c r="R79">
        <f t="shared" si="11"/>
        <v>0</v>
      </c>
      <c r="S79">
        <f t="shared" si="12"/>
        <v>0.69509975820256942</v>
      </c>
      <c r="T79">
        <f t="shared" si="13"/>
        <v>0.36369990673567759</v>
      </c>
    </row>
    <row r="80" spans="1:20" x14ac:dyDescent="0.25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8"/>
        <v>0.80162111165931016</v>
      </c>
      <c r="P80">
        <f t="shared" si="9"/>
        <v>0.69032114579249781</v>
      </c>
      <c r="Q80">
        <f t="shared" si="10"/>
        <v>1</v>
      </c>
      <c r="R80">
        <f t="shared" si="11"/>
        <v>0</v>
      </c>
      <c r="S80">
        <f t="shared" si="12"/>
        <v>0.69032114579249781</v>
      </c>
      <c r="T80">
        <f t="shared" si="13"/>
        <v>0.37059836098438692</v>
      </c>
    </row>
    <row r="81" spans="1:20" x14ac:dyDescent="0.25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8"/>
        <v>0.53163247264127533</v>
      </c>
      <c r="P81">
        <f t="shared" si="9"/>
        <v>0.6298637797441774</v>
      </c>
      <c r="Q81">
        <f t="shared" si="10"/>
        <v>1</v>
      </c>
      <c r="R81">
        <f t="shared" si="11"/>
        <v>1</v>
      </c>
      <c r="S81">
        <f t="shared" si="12"/>
        <v>0.3701362202558226</v>
      </c>
      <c r="T81">
        <f t="shared" si="13"/>
        <v>0.99388417824560626</v>
      </c>
    </row>
    <row r="82" spans="1:20" x14ac:dyDescent="0.25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8"/>
        <v>0.20868944684277402</v>
      </c>
      <c r="P82">
        <f t="shared" si="9"/>
        <v>0.55198383494264558</v>
      </c>
      <c r="Q82">
        <f t="shared" si="10"/>
        <v>1</v>
      </c>
      <c r="R82">
        <f t="shared" si="11"/>
        <v>1</v>
      </c>
      <c r="S82">
        <f t="shared" si="12"/>
        <v>0.44801616505735442</v>
      </c>
      <c r="T82">
        <f t="shared" si="13"/>
        <v>0.80292596450080855</v>
      </c>
    </row>
    <row r="83" spans="1:20" x14ac:dyDescent="0.25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8"/>
        <v>1.1019695766624931</v>
      </c>
      <c r="P83">
        <f t="shared" si="9"/>
        <v>0.75062896300568649</v>
      </c>
      <c r="Q83">
        <f t="shared" si="10"/>
        <v>1</v>
      </c>
      <c r="R83">
        <f t="shared" si="11"/>
        <v>0</v>
      </c>
      <c r="S83">
        <f t="shared" si="12"/>
        <v>0.75062896300568649</v>
      </c>
      <c r="T83">
        <f t="shared" si="13"/>
        <v>0.28684380655391739</v>
      </c>
    </row>
    <row r="84" spans="1:20" x14ac:dyDescent="0.25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8"/>
        <v>0.17700088671817715</v>
      </c>
      <c r="P84">
        <f t="shared" si="9"/>
        <v>0.54413505505147775</v>
      </c>
      <c r="Q84">
        <f t="shared" si="10"/>
        <v>1</v>
      </c>
      <c r="R84">
        <f t="shared" si="11"/>
        <v>1</v>
      </c>
      <c r="S84">
        <f t="shared" si="12"/>
        <v>0.45586494494852225</v>
      </c>
      <c r="T84">
        <f t="shared" si="13"/>
        <v>0.78555868669424589</v>
      </c>
    </row>
    <row r="85" spans="1:20" x14ac:dyDescent="0.25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8"/>
        <v>0.19737744635748444</v>
      </c>
      <c r="P85">
        <f t="shared" si="9"/>
        <v>0.54918478734845977</v>
      </c>
      <c r="Q85">
        <f t="shared" si="10"/>
        <v>1</v>
      </c>
      <c r="R85">
        <f t="shared" si="11"/>
        <v>1</v>
      </c>
      <c r="S85">
        <f t="shared" si="12"/>
        <v>0.45081521265154023</v>
      </c>
      <c r="T85">
        <f t="shared" si="13"/>
        <v>0.79669775148629463</v>
      </c>
    </row>
    <row r="86" spans="1:20" x14ac:dyDescent="0.25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8"/>
        <v>0.78876695935131691</v>
      </c>
      <c r="P86">
        <f t="shared" si="9"/>
        <v>0.68756651154585946</v>
      </c>
      <c r="Q86">
        <f t="shared" si="10"/>
        <v>1</v>
      </c>
      <c r="R86">
        <f t="shared" si="11"/>
        <v>0</v>
      </c>
      <c r="S86">
        <f t="shared" si="12"/>
        <v>0.68756651154585946</v>
      </c>
      <c r="T86">
        <f t="shared" si="13"/>
        <v>0.37459671005411144</v>
      </c>
    </row>
    <row r="87" spans="1:20" x14ac:dyDescent="0.25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8"/>
        <v>1.0303370201699267</v>
      </c>
      <c r="P87">
        <f t="shared" si="9"/>
        <v>0.73698122900585472</v>
      </c>
      <c r="Q87">
        <f t="shared" si="10"/>
        <v>1</v>
      </c>
      <c r="R87">
        <f t="shared" si="11"/>
        <v>0</v>
      </c>
      <c r="S87">
        <f t="shared" si="12"/>
        <v>0.73698122900585472</v>
      </c>
      <c r="T87">
        <f t="shared" si="13"/>
        <v>0.30519285658003642</v>
      </c>
    </row>
    <row r="88" spans="1:20" x14ac:dyDescent="0.25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8"/>
        <v>0.6044154025708055</v>
      </c>
      <c r="P88">
        <f t="shared" si="9"/>
        <v>0.64666582985297627</v>
      </c>
      <c r="Q88">
        <f t="shared" si="10"/>
        <v>1</v>
      </c>
      <c r="R88">
        <f t="shared" si="11"/>
        <v>0</v>
      </c>
      <c r="S88">
        <f t="shared" si="12"/>
        <v>0.64666582985297627</v>
      </c>
      <c r="T88">
        <f t="shared" si="13"/>
        <v>0.43592560963549948</v>
      </c>
    </row>
    <row r="89" spans="1:20" x14ac:dyDescent="0.25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8"/>
        <v>0.51459506262760657</v>
      </c>
      <c r="P89">
        <f t="shared" si="9"/>
        <v>0.6258830451145454</v>
      </c>
      <c r="Q89">
        <f t="shared" si="10"/>
        <v>1</v>
      </c>
      <c r="R89">
        <f t="shared" si="11"/>
        <v>1</v>
      </c>
      <c r="S89">
        <f t="shared" si="12"/>
        <v>0.3741169548854546</v>
      </c>
      <c r="T89">
        <f t="shared" si="13"/>
        <v>0.98318681685483889</v>
      </c>
    </row>
    <row r="90" spans="1:20" x14ac:dyDescent="0.25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8"/>
        <v>0.36214276455020245</v>
      </c>
      <c r="P90">
        <f t="shared" si="9"/>
        <v>0.58955903778844498</v>
      </c>
      <c r="Q90">
        <f t="shared" si="10"/>
        <v>1</v>
      </c>
      <c r="R90">
        <f t="shared" si="11"/>
        <v>0</v>
      </c>
      <c r="S90">
        <f t="shared" si="12"/>
        <v>0.58955903778844498</v>
      </c>
      <c r="T90">
        <f t="shared" si="13"/>
        <v>0.52838041509910161</v>
      </c>
    </row>
    <row r="91" spans="1:20" x14ac:dyDescent="0.25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8"/>
        <v>0.44991675593310609</v>
      </c>
      <c r="P91">
        <f t="shared" si="9"/>
        <v>0.61061944174418259</v>
      </c>
      <c r="Q91">
        <f t="shared" si="10"/>
        <v>1</v>
      </c>
      <c r="R91">
        <f t="shared" si="11"/>
        <v>1</v>
      </c>
      <c r="S91">
        <f t="shared" si="12"/>
        <v>0.38938055825581741</v>
      </c>
      <c r="T91">
        <f t="shared" si="13"/>
        <v>0.9431981147280053</v>
      </c>
    </row>
    <row r="92" spans="1:20" x14ac:dyDescent="0.25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8"/>
        <v>0.32980247711305832</v>
      </c>
      <c r="P92">
        <f t="shared" si="9"/>
        <v>0.5817113157047421</v>
      </c>
      <c r="Q92">
        <f t="shared" si="10"/>
        <v>1</v>
      </c>
      <c r="R92">
        <f t="shared" si="11"/>
        <v>1</v>
      </c>
      <c r="S92">
        <f t="shared" si="12"/>
        <v>0.4182886842952579</v>
      </c>
      <c r="T92">
        <f t="shared" si="13"/>
        <v>0.87158345254880409</v>
      </c>
    </row>
    <row r="93" spans="1:20" x14ac:dyDescent="0.25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8"/>
        <v>9.9070914758508266E-2</v>
      </c>
      <c r="P93">
        <f t="shared" si="9"/>
        <v>0.52474749051990643</v>
      </c>
      <c r="Q93">
        <f t="shared" si="10"/>
        <v>1</v>
      </c>
      <c r="R93">
        <f t="shared" si="11"/>
        <v>1</v>
      </c>
      <c r="S93">
        <f t="shared" si="12"/>
        <v>0.47525250948009357</v>
      </c>
      <c r="T93">
        <f t="shared" si="13"/>
        <v>0.7439090172906776</v>
      </c>
    </row>
    <row r="94" spans="1:20" x14ac:dyDescent="0.25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8"/>
        <v>0.1456862444596696</v>
      </c>
      <c r="P94">
        <f t="shared" si="9"/>
        <v>0.53635727848453019</v>
      </c>
      <c r="Q94">
        <f t="shared" si="10"/>
        <v>1</v>
      </c>
      <c r="R94">
        <f t="shared" si="11"/>
        <v>1</v>
      </c>
      <c r="S94">
        <f t="shared" si="12"/>
        <v>0.46364272151546981</v>
      </c>
      <c r="T94">
        <f t="shared" si="13"/>
        <v>0.76864102008953183</v>
      </c>
    </row>
    <row r="95" spans="1:20" x14ac:dyDescent="0.25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8"/>
        <v>-2.9047907493185809E-2</v>
      </c>
      <c r="P95">
        <f t="shared" si="9"/>
        <v>0.49273853371008802</v>
      </c>
      <c r="Q95">
        <f t="shared" si="10"/>
        <v>0</v>
      </c>
      <c r="R95">
        <f t="shared" si="11"/>
        <v>0</v>
      </c>
      <c r="S95">
        <f t="shared" si="12"/>
        <v>0.50726146628991198</v>
      </c>
      <c r="T95">
        <f t="shared" si="13"/>
        <v>0.67872869572161998</v>
      </c>
    </row>
    <row r="96" spans="1:20" x14ac:dyDescent="0.25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8"/>
        <v>0.13609967545891544</v>
      </c>
      <c r="P96">
        <f t="shared" si="9"/>
        <v>0.53397249532471536</v>
      </c>
      <c r="Q96">
        <f t="shared" si="10"/>
        <v>1</v>
      </c>
      <c r="R96">
        <f t="shared" si="11"/>
        <v>1</v>
      </c>
      <c r="S96">
        <f t="shared" si="12"/>
        <v>0.46602750467528464</v>
      </c>
      <c r="T96">
        <f t="shared" si="13"/>
        <v>0.76351062368993838</v>
      </c>
    </row>
    <row r="97" spans="1:20" x14ac:dyDescent="0.25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8"/>
        <v>0.86935290701240309</v>
      </c>
      <c r="P97">
        <f t="shared" si="9"/>
        <v>0.70461103357053101</v>
      </c>
      <c r="Q97">
        <f t="shared" si="10"/>
        <v>1</v>
      </c>
      <c r="R97">
        <f t="shared" si="11"/>
        <v>0</v>
      </c>
      <c r="S97">
        <f t="shared" si="12"/>
        <v>0.70461103357053101</v>
      </c>
      <c r="T97">
        <f t="shared" si="13"/>
        <v>0.35010935385822051</v>
      </c>
    </row>
    <row r="98" spans="1:20" x14ac:dyDescent="0.25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8"/>
        <v>0.20358831549546164</v>
      </c>
      <c r="P98">
        <f t="shared" si="9"/>
        <v>0.55072200511924163</v>
      </c>
      <c r="Q98">
        <f t="shared" si="10"/>
        <v>1</v>
      </c>
      <c r="R98">
        <f t="shared" si="11"/>
        <v>1</v>
      </c>
      <c r="S98">
        <f t="shared" si="12"/>
        <v>0.44927799488075837</v>
      </c>
      <c r="T98">
        <f t="shared" si="13"/>
        <v>0.80011344055597944</v>
      </c>
    </row>
    <row r="99" spans="1:20" x14ac:dyDescent="0.25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8"/>
        <v>0.14825151583984386</v>
      </c>
      <c r="P99">
        <f t="shared" si="9"/>
        <v>0.53699514557995043</v>
      </c>
      <c r="Q99">
        <f t="shared" si="10"/>
        <v>1</v>
      </c>
      <c r="R99">
        <f t="shared" si="11"/>
        <v>1</v>
      </c>
      <c r="S99">
        <f t="shared" si="12"/>
        <v>0.46300485442004957</v>
      </c>
      <c r="T99">
        <f t="shared" si="13"/>
        <v>0.77001774024233671</v>
      </c>
    </row>
    <row r="100" spans="1:20" x14ac:dyDescent="0.25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8"/>
        <v>0.71312048423630992</v>
      </c>
      <c r="P100">
        <f t="shared" si="9"/>
        <v>0.6710903057533375</v>
      </c>
      <c r="Q100">
        <f t="shared" si="10"/>
        <v>1</v>
      </c>
      <c r="R100">
        <f t="shared" si="11"/>
        <v>0</v>
      </c>
      <c r="S100">
        <f t="shared" si="12"/>
        <v>0.6710903057533375</v>
      </c>
      <c r="T100">
        <f t="shared" si="13"/>
        <v>0.39885156723096887</v>
      </c>
    </row>
    <row r="101" spans="1:20" x14ac:dyDescent="0.25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8"/>
        <v>0.63904071789941175</v>
      </c>
      <c r="P101">
        <f t="shared" si="9"/>
        <v>0.65453658139711934</v>
      </c>
      <c r="Q101">
        <f t="shared" si="10"/>
        <v>1</v>
      </c>
      <c r="R101">
        <f t="shared" si="11"/>
        <v>0</v>
      </c>
      <c r="S101">
        <f t="shared" si="12"/>
        <v>0.65453658139711934</v>
      </c>
      <c r="T101">
        <f t="shared" si="13"/>
        <v>0.42382780306709245</v>
      </c>
    </row>
    <row r="102" spans="1:20" x14ac:dyDescent="0.25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8"/>
        <v>0.62622159276281097</v>
      </c>
      <c r="P102">
        <f t="shared" si="9"/>
        <v>0.6516322269321928</v>
      </c>
      <c r="Q102">
        <f t="shared" si="10"/>
        <v>1</v>
      </c>
      <c r="R102">
        <f t="shared" si="11"/>
        <v>0</v>
      </c>
      <c r="S102">
        <f t="shared" si="12"/>
        <v>0.6516322269321928</v>
      </c>
      <c r="T102">
        <f t="shared" si="13"/>
        <v>0.42827494532472454</v>
      </c>
    </row>
    <row r="103" spans="1:20" x14ac:dyDescent="0.25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8"/>
        <v>9.0488010625754844E-2</v>
      </c>
      <c r="P103">
        <f t="shared" si="9"/>
        <v>0.5226065793875927</v>
      </c>
      <c r="Q103">
        <f t="shared" si="10"/>
        <v>1</v>
      </c>
      <c r="R103">
        <f t="shared" si="11"/>
        <v>1</v>
      </c>
      <c r="S103">
        <f t="shared" si="12"/>
        <v>0.4773934206124073</v>
      </c>
      <c r="T103">
        <f t="shared" si="13"/>
        <v>0.73941434688078123</v>
      </c>
    </row>
    <row r="104" spans="1:20" x14ac:dyDescent="0.25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8"/>
        <v>0.33589711120774446</v>
      </c>
      <c r="P104">
        <f t="shared" si="9"/>
        <v>0.58319353921037254</v>
      </c>
      <c r="Q104">
        <f t="shared" si="10"/>
        <v>1</v>
      </c>
      <c r="R104">
        <f t="shared" si="11"/>
        <v>1</v>
      </c>
      <c r="S104">
        <f t="shared" si="12"/>
        <v>0.41680646078962746</v>
      </c>
      <c r="T104">
        <f t="shared" si="13"/>
        <v>0.87513328772831134</v>
      </c>
    </row>
    <row r="105" spans="1:20" x14ac:dyDescent="0.25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8"/>
        <v>1.0519040495757632</v>
      </c>
      <c r="P105">
        <f t="shared" si="9"/>
        <v>0.74114036130735506</v>
      </c>
      <c r="Q105">
        <f t="shared" si="10"/>
        <v>1</v>
      </c>
      <c r="R105">
        <f t="shared" si="11"/>
        <v>0</v>
      </c>
      <c r="S105">
        <f t="shared" si="12"/>
        <v>0.74114036130735506</v>
      </c>
      <c r="T105">
        <f t="shared" si="13"/>
        <v>0.29956525015661539</v>
      </c>
    </row>
    <row r="106" spans="1:20" x14ac:dyDescent="0.25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8"/>
        <v>1.2701033938879163</v>
      </c>
      <c r="P106">
        <f t="shared" si="9"/>
        <v>0.78076044672696132</v>
      </c>
      <c r="Q106">
        <f t="shared" si="10"/>
        <v>1</v>
      </c>
      <c r="R106">
        <f t="shared" si="11"/>
        <v>0</v>
      </c>
      <c r="S106">
        <f t="shared" si="12"/>
        <v>0.78076044672696132</v>
      </c>
      <c r="T106">
        <f t="shared" si="13"/>
        <v>0.24748690253451569</v>
      </c>
    </row>
    <row r="107" spans="1:20" x14ac:dyDescent="0.25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8"/>
        <v>0.92471042889176602</v>
      </c>
      <c r="P107">
        <f t="shared" si="9"/>
        <v>0.71600091506588459</v>
      </c>
      <c r="Q107">
        <f t="shared" si="10"/>
        <v>1</v>
      </c>
      <c r="R107">
        <f t="shared" si="11"/>
        <v>0</v>
      </c>
      <c r="S107">
        <f t="shared" si="12"/>
        <v>0.71600091506588459</v>
      </c>
      <c r="T107">
        <f t="shared" si="13"/>
        <v>0.33407383399732965</v>
      </c>
    </row>
    <row r="108" spans="1:20" x14ac:dyDescent="0.25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8"/>
        <v>0.67337546444759688</v>
      </c>
      <c r="P108">
        <f t="shared" si="9"/>
        <v>0.66225856963496643</v>
      </c>
      <c r="Q108">
        <f t="shared" si="10"/>
        <v>1</v>
      </c>
      <c r="R108">
        <f t="shared" si="11"/>
        <v>0</v>
      </c>
      <c r="S108">
        <f t="shared" si="12"/>
        <v>0.66225856963496643</v>
      </c>
      <c r="T108">
        <f t="shared" si="13"/>
        <v>0.41209921073253164</v>
      </c>
    </row>
    <row r="109" spans="1:20" x14ac:dyDescent="0.25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8"/>
        <v>0.54760713070507694</v>
      </c>
      <c r="P109">
        <f t="shared" si="9"/>
        <v>0.63358024906260968</v>
      </c>
      <c r="Q109">
        <f t="shared" si="10"/>
        <v>1</v>
      </c>
      <c r="R109">
        <f t="shared" si="11"/>
        <v>1</v>
      </c>
      <c r="S109">
        <f t="shared" si="12"/>
        <v>0.36641975093739032</v>
      </c>
      <c r="T109">
        <f t="shared" si="13"/>
        <v>1.0039757422381979</v>
      </c>
    </row>
    <row r="110" spans="1:20" x14ac:dyDescent="0.25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8"/>
        <v>3.7664889838914417E-2</v>
      </c>
      <c r="P110">
        <f t="shared" si="9"/>
        <v>0.50941510942872748</v>
      </c>
      <c r="Q110">
        <f t="shared" si="10"/>
        <v>1</v>
      </c>
      <c r="R110">
        <f t="shared" si="11"/>
        <v>1</v>
      </c>
      <c r="S110">
        <f t="shared" si="12"/>
        <v>0.49058489057127252</v>
      </c>
      <c r="T110">
        <f t="shared" si="13"/>
        <v>0.71215694548918163</v>
      </c>
    </row>
    <row r="111" spans="1:20" x14ac:dyDescent="0.25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8"/>
        <v>0.495213479420058</v>
      </c>
      <c r="P111">
        <f t="shared" si="9"/>
        <v>0.62133382352494337</v>
      </c>
      <c r="Q111">
        <f t="shared" si="10"/>
        <v>1</v>
      </c>
      <c r="R111">
        <f t="shared" si="11"/>
        <v>1</v>
      </c>
      <c r="S111">
        <f t="shared" si="12"/>
        <v>0.37866617647505663</v>
      </c>
      <c r="T111">
        <f t="shared" si="13"/>
        <v>0.97110026289008489</v>
      </c>
    </row>
    <row r="112" spans="1:20" x14ac:dyDescent="0.25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8"/>
        <v>0.29034122835222909</v>
      </c>
      <c r="P112">
        <f t="shared" si="9"/>
        <v>0.57207966922875164</v>
      </c>
      <c r="Q112">
        <f t="shared" si="10"/>
        <v>1</v>
      </c>
      <c r="R112">
        <f t="shared" si="11"/>
        <v>1</v>
      </c>
      <c r="S112">
        <f t="shared" si="12"/>
        <v>0.42792033077124836</v>
      </c>
      <c r="T112">
        <f t="shared" si="13"/>
        <v>0.84881824378494042</v>
      </c>
    </row>
    <row r="113" spans="1:20" x14ac:dyDescent="0.25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8"/>
        <v>0.16592947789272494</v>
      </c>
      <c r="P113">
        <f t="shared" si="9"/>
        <v>0.54138745436229174</v>
      </c>
      <c r="Q113">
        <f t="shared" si="10"/>
        <v>1</v>
      </c>
      <c r="R113">
        <f t="shared" si="11"/>
        <v>1</v>
      </c>
      <c r="S113">
        <f t="shared" si="12"/>
        <v>0.45861254563770826</v>
      </c>
      <c r="T113">
        <f t="shared" si="13"/>
        <v>0.77954955254849922</v>
      </c>
    </row>
    <row r="114" spans="1:20" x14ac:dyDescent="0.25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8"/>
        <v>0.61881052623760313</v>
      </c>
      <c r="P114">
        <f t="shared" si="9"/>
        <v>0.64994797302221929</v>
      </c>
      <c r="Q114">
        <f t="shared" si="10"/>
        <v>1</v>
      </c>
      <c r="R114">
        <f t="shared" si="11"/>
        <v>0</v>
      </c>
      <c r="S114">
        <f t="shared" si="12"/>
        <v>0.64994797302221929</v>
      </c>
      <c r="T114">
        <f t="shared" si="13"/>
        <v>0.4308629608002244</v>
      </c>
    </row>
    <row r="115" spans="1:20" x14ac:dyDescent="0.25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8"/>
        <v>-8.7411132132986236E-4</v>
      </c>
      <c r="P115">
        <f t="shared" si="9"/>
        <v>0.49978147218358171</v>
      </c>
      <c r="Q115">
        <f t="shared" si="10"/>
        <v>0</v>
      </c>
      <c r="R115">
        <f t="shared" si="11"/>
        <v>0</v>
      </c>
      <c r="S115">
        <f t="shared" si="12"/>
        <v>0.50021852781641829</v>
      </c>
      <c r="T115">
        <f t="shared" si="13"/>
        <v>0.69271022040810248</v>
      </c>
    </row>
    <row r="116" spans="1:20" x14ac:dyDescent="0.25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8"/>
        <v>0.46068946348418605</v>
      </c>
      <c r="P116">
        <f t="shared" si="9"/>
        <v>0.61317772329217213</v>
      </c>
      <c r="Q116">
        <f t="shared" si="10"/>
        <v>1</v>
      </c>
      <c r="R116">
        <f t="shared" si="11"/>
        <v>0</v>
      </c>
      <c r="S116">
        <f t="shared" si="12"/>
        <v>0.61317772329217213</v>
      </c>
      <c r="T116">
        <f t="shared" si="13"/>
        <v>0.48910046126118817</v>
      </c>
    </row>
    <row r="117" spans="1:20" x14ac:dyDescent="0.25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8"/>
        <v>0.31196062997956986</v>
      </c>
      <c r="P117">
        <f t="shared" si="9"/>
        <v>0.5773637563865367</v>
      </c>
      <c r="Q117">
        <f t="shared" si="10"/>
        <v>1</v>
      </c>
      <c r="R117">
        <f t="shared" si="11"/>
        <v>1</v>
      </c>
      <c r="S117">
        <f t="shared" si="12"/>
        <v>0.4226362436134633</v>
      </c>
      <c r="T117">
        <f t="shared" si="13"/>
        <v>0.86124341407617611</v>
      </c>
    </row>
    <row r="118" spans="1:20" x14ac:dyDescent="0.25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8"/>
        <v>0.97655689579831839</v>
      </c>
      <c r="P118">
        <f t="shared" si="9"/>
        <v>0.72642449524268682</v>
      </c>
      <c r="Q118">
        <f t="shared" si="10"/>
        <v>1</v>
      </c>
      <c r="R118">
        <f t="shared" si="11"/>
        <v>0</v>
      </c>
      <c r="S118">
        <f t="shared" si="12"/>
        <v>0.72642449524268682</v>
      </c>
      <c r="T118">
        <f t="shared" si="13"/>
        <v>0.31962073083920428</v>
      </c>
    </row>
    <row r="119" spans="1:20" x14ac:dyDescent="0.25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8"/>
        <v>0.99310011480924598</v>
      </c>
      <c r="P119">
        <f t="shared" si="9"/>
        <v>0.72969981801250106</v>
      </c>
      <c r="Q119">
        <f t="shared" si="10"/>
        <v>1</v>
      </c>
      <c r="R119">
        <f t="shared" si="11"/>
        <v>0</v>
      </c>
      <c r="S119">
        <f t="shared" si="12"/>
        <v>0.72969981801250106</v>
      </c>
      <c r="T119">
        <f t="shared" si="13"/>
        <v>0.3151220376110308</v>
      </c>
    </row>
    <row r="120" spans="1:20" x14ac:dyDescent="0.25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8"/>
        <v>0.55124038502944206</v>
      </c>
      <c r="P120">
        <f t="shared" si="9"/>
        <v>0.63442332190867812</v>
      </c>
      <c r="Q120">
        <f t="shared" si="10"/>
        <v>1</v>
      </c>
      <c r="R120">
        <f t="shared" si="11"/>
        <v>0</v>
      </c>
      <c r="S120">
        <f t="shared" si="12"/>
        <v>0.63442332190867812</v>
      </c>
      <c r="T120">
        <f t="shared" si="13"/>
        <v>0.45503884718607818</v>
      </c>
    </row>
    <row r="121" spans="1:20" x14ac:dyDescent="0.25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8"/>
        <v>0.99470931948114139</v>
      </c>
      <c r="P121">
        <f t="shared" si="9"/>
        <v>0.73001709696772266</v>
      </c>
      <c r="Q121">
        <f t="shared" si="10"/>
        <v>1</v>
      </c>
      <c r="R121">
        <f t="shared" si="11"/>
        <v>0</v>
      </c>
      <c r="S121">
        <f t="shared" si="12"/>
        <v>0.73001709696772266</v>
      </c>
      <c r="T121">
        <f t="shared" si="13"/>
        <v>0.3146873246102263</v>
      </c>
    </row>
    <row r="122" spans="1:20" x14ac:dyDescent="0.25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8"/>
        <v>0.2962024871678639</v>
      </c>
      <c r="P122">
        <f t="shared" si="9"/>
        <v>0.5735139218415708</v>
      </c>
      <c r="Q122">
        <f t="shared" si="10"/>
        <v>1</v>
      </c>
      <c r="R122">
        <f t="shared" si="11"/>
        <v>1</v>
      </c>
      <c r="S122">
        <f t="shared" si="12"/>
        <v>0.4264860781584292</v>
      </c>
      <c r="T122">
        <f t="shared" si="13"/>
        <v>0.85217555465015604</v>
      </c>
    </row>
    <row r="123" spans="1:20" x14ac:dyDescent="0.25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8"/>
        <v>0.82580692555298407</v>
      </c>
      <c r="P123">
        <f t="shared" si="9"/>
        <v>0.69546759701276561</v>
      </c>
      <c r="Q123">
        <f t="shared" si="10"/>
        <v>1</v>
      </c>
      <c r="R123">
        <f t="shared" si="11"/>
        <v>0</v>
      </c>
      <c r="S123">
        <f t="shared" si="12"/>
        <v>0.69546759701276561</v>
      </c>
      <c r="T123">
        <f t="shared" si="13"/>
        <v>0.36317085818956263</v>
      </c>
    </row>
    <row r="124" spans="1:20" x14ac:dyDescent="0.25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8"/>
        <v>0.25979183732168543</v>
      </c>
      <c r="P124">
        <f t="shared" si="9"/>
        <v>0.56458512011761819</v>
      </c>
      <c r="Q124">
        <f t="shared" si="10"/>
        <v>1</v>
      </c>
      <c r="R124">
        <f t="shared" si="11"/>
        <v>1</v>
      </c>
      <c r="S124">
        <f t="shared" si="12"/>
        <v>0.43541487988238181</v>
      </c>
      <c r="T124">
        <f t="shared" si="13"/>
        <v>0.83145595556495566</v>
      </c>
    </row>
    <row r="125" spans="1:20" x14ac:dyDescent="0.25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8"/>
        <v>0.41341245684147587</v>
      </c>
      <c r="P125">
        <f t="shared" si="9"/>
        <v>0.60190583902814465</v>
      </c>
      <c r="Q125">
        <f t="shared" si="10"/>
        <v>1</v>
      </c>
      <c r="R125">
        <f t="shared" si="11"/>
        <v>1</v>
      </c>
      <c r="S125">
        <f t="shared" si="12"/>
        <v>0.39809416097185535</v>
      </c>
      <c r="T125">
        <f t="shared" si="13"/>
        <v>0.92106671632318105</v>
      </c>
    </row>
    <row r="126" spans="1:20" x14ac:dyDescent="0.25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8"/>
        <v>-9.3100148961211382E-2</v>
      </c>
      <c r="P126">
        <f t="shared" si="9"/>
        <v>0.47674175983334449</v>
      </c>
      <c r="Q126">
        <f t="shared" si="10"/>
        <v>0</v>
      </c>
      <c r="R126">
        <f t="shared" si="11"/>
        <v>0</v>
      </c>
      <c r="S126">
        <f t="shared" si="12"/>
        <v>0.52325824016665545</v>
      </c>
      <c r="T126">
        <f t="shared" si="13"/>
        <v>0.64768016973099618</v>
      </c>
    </row>
    <row r="127" spans="1:20" x14ac:dyDescent="0.25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8"/>
        <v>0.11153010267575714</v>
      </c>
      <c r="P127">
        <f t="shared" si="9"/>
        <v>0.52785365909813653</v>
      </c>
      <c r="Q127">
        <f t="shared" si="10"/>
        <v>1</v>
      </c>
      <c r="R127">
        <f t="shared" si="11"/>
        <v>0</v>
      </c>
      <c r="S127">
        <f t="shared" si="12"/>
        <v>0.52785365909813653</v>
      </c>
      <c r="T127">
        <f t="shared" si="13"/>
        <v>0.63893619449101213</v>
      </c>
    </row>
    <row r="128" spans="1:20" x14ac:dyDescent="0.25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8"/>
        <v>0.30937026559554415</v>
      </c>
      <c r="P128">
        <f t="shared" si="9"/>
        <v>0.57673154266968285</v>
      </c>
      <c r="Q128">
        <f t="shared" si="10"/>
        <v>1</v>
      </c>
      <c r="R128">
        <f t="shared" si="11"/>
        <v>1</v>
      </c>
      <c r="S128">
        <f t="shared" si="12"/>
        <v>0.42326845733031715</v>
      </c>
      <c r="T128">
        <f t="shared" si="13"/>
        <v>0.85974865034247794</v>
      </c>
    </row>
    <row r="129" spans="1:20" x14ac:dyDescent="0.25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8"/>
        <v>1.2308424825694835</v>
      </c>
      <c r="P129">
        <f t="shared" si="9"/>
        <v>0.77396599440673586</v>
      </c>
      <c r="Q129">
        <f t="shared" si="10"/>
        <v>1</v>
      </c>
      <c r="R129">
        <f t="shared" si="11"/>
        <v>0</v>
      </c>
      <c r="S129">
        <f t="shared" si="12"/>
        <v>0.77396599440673586</v>
      </c>
      <c r="T129">
        <f t="shared" si="13"/>
        <v>0.25622734123259311</v>
      </c>
    </row>
    <row r="130" spans="1:20" x14ac:dyDescent="0.25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8"/>
        <v>0.29524274995598021</v>
      </c>
      <c r="P130">
        <f t="shared" si="9"/>
        <v>0.57327915769771098</v>
      </c>
      <c r="Q130">
        <f t="shared" si="10"/>
        <v>1</v>
      </c>
      <c r="R130">
        <f t="shared" si="11"/>
        <v>1</v>
      </c>
      <c r="S130">
        <f t="shared" si="12"/>
        <v>0.42672084230228902</v>
      </c>
      <c r="T130">
        <f t="shared" si="13"/>
        <v>0.85162524465112854</v>
      </c>
    </row>
    <row r="131" spans="1:20" x14ac:dyDescent="0.25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8"/>
        <v>0.88999642873957829</v>
      </c>
      <c r="P131">
        <f t="shared" si="9"/>
        <v>0.70888943558278528</v>
      </c>
      <c r="Q131">
        <f t="shared" si="10"/>
        <v>1</v>
      </c>
      <c r="R131">
        <f t="shared" si="11"/>
        <v>0</v>
      </c>
      <c r="S131">
        <f t="shared" si="12"/>
        <v>0.70888943558278528</v>
      </c>
      <c r="T131">
        <f t="shared" si="13"/>
        <v>0.3440557087815318</v>
      </c>
    </row>
    <row r="132" spans="1:20" x14ac:dyDescent="0.25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8"/>
        <v>0.32994102727357744</v>
      </c>
      <c r="P132">
        <f t="shared" si="9"/>
        <v>0.58174502779988335</v>
      </c>
      <c r="Q132">
        <f t="shared" si="10"/>
        <v>1</v>
      </c>
      <c r="R132">
        <f t="shared" si="11"/>
        <v>0</v>
      </c>
      <c r="S132">
        <f t="shared" si="12"/>
        <v>0.58174502779988335</v>
      </c>
      <c r="T132">
        <f t="shared" si="13"/>
        <v>0.54172302380681014</v>
      </c>
    </row>
    <row r="133" spans="1:20" x14ac:dyDescent="0.25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8"/>
        <v>0.2694586654490323</v>
      </c>
      <c r="P133">
        <f t="shared" si="9"/>
        <v>0.56696000329869745</v>
      </c>
      <c r="Q133">
        <f t="shared" si="10"/>
        <v>1</v>
      </c>
      <c r="R133">
        <f t="shared" si="11"/>
        <v>1</v>
      </c>
      <c r="S133">
        <f t="shared" si="12"/>
        <v>0.43303999670130255</v>
      </c>
      <c r="T133">
        <f t="shared" si="13"/>
        <v>0.83692518411094985</v>
      </c>
    </row>
    <row r="134" spans="1:20" x14ac:dyDescent="0.25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ref="O134:O197" si="14">SUMPRODUCT(A$4:M$4, A134:M134)+N$4</f>
        <v>0.21750082472935039</v>
      </c>
      <c r="P134">
        <f t="shared" ref="P134:P197" si="15">1/(1+EXP(0-O134))</f>
        <v>0.55416185652664618</v>
      </c>
      <c r="Q134">
        <f t="shared" ref="Q134:Q197" si="16">IF(P134&lt;=0.5, 0, 1)</f>
        <v>1</v>
      </c>
      <c r="R134">
        <f t="shared" ref="R134:R197" si="17">IF(N134=Q134, 0, 1)</f>
        <v>1</v>
      </c>
      <c r="S134">
        <f t="shared" ref="S134:S197" si="18">IF(N134=1, P134, 1-P134)</f>
        <v>0.44583814347335382</v>
      </c>
      <c r="T134">
        <f t="shared" si="13"/>
        <v>0.80779929983917564</v>
      </c>
    </row>
    <row r="135" spans="1:20" x14ac:dyDescent="0.25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si="14"/>
        <v>0.1679785452129654</v>
      </c>
      <c r="P135">
        <f t="shared" si="15"/>
        <v>0.54189616798133466</v>
      </c>
      <c r="Q135">
        <f t="shared" si="16"/>
        <v>1</v>
      </c>
      <c r="R135">
        <f t="shared" si="17"/>
        <v>1</v>
      </c>
      <c r="S135">
        <f t="shared" si="18"/>
        <v>0.45810383201866534</v>
      </c>
      <c r="T135">
        <f t="shared" ref="T135:T198" si="19">IF(S135=0, 100000, -LN(S135))</f>
        <v>0.78065941309787124</v>
      </c>
    </row>
    <row r="136" spans="1:20" x14ac:dyDescent="0.25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4"/>
        <v>0.12077529834403355</v>
      </c>
      <c r="P136">
        <f t="shared" si="15"/>
        <v>0.53015717575715249</v>
      </c>
      <c r="Q136">
        <f t="shared" si="16"/>
        <v>1</v>
      </c>
      <c r="R136">
        <f t="shared" si="17"/>
        <v>1</v>
      </c>
      <c r="S136">
        <f t="shared" si="18"/>
        <v>0.46984282424284751</v>
      </c>
      <c r="T136">
        <f t="shared" si="19"/>
        <v>0.75535705671228137</v>
      </c>
    </row>
    <row r="137" spans="1:20" x14ac:dyDescent="0.25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4"/>
        <v>0.98769756694859057</v>
      </c>
      <c r="P137">
        <f t="shared" si="15"/>
        <v>0.72863290891108135</v>
      </c>
      <c r="Q137">
        <f t="shared" si="16"/>
        <v>1</v>
      </c>
      <c r="R137">
        <f t="shared" si="17"/>
        <v>0</v>
      </c>
      <c r="S137">
        <f t="shared" si="18"/>
        <v>0.72863290891108135</v>
      </c>
      <c r="T137">
        <f t="shared" si="19"/>
        <v>0.31658522810531292</v>
      </c>
    </row>
    <row r="138" spans="1:20" x14ac:dyDescent="0.25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4"/>
        <v>0.90354253726019107</v>
      </c>
      <c r="P138">
        <f t="shared" si="15"/>
        <v>0.71167695074057025</v>
      </c>
      <c r="Q138">
        <f t="shared" si="16"/>
        <v>1</v>
      </c>
      <c r="R138">
        <f t="shared" si="17"/>
        <v>0</v>
      </c>
      <c r="S138">
        <f t="shared" si="18"/>
        <v>0.71167695074057025</v>
      </c>
      <c r="T138">
        <f t="shared" si="19"/>
        <v>0.34013119140260617</v>
      </c>
    </row>
    <row r="139" spans="1:20" x14ac:dyDescent="0.25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4"/>
        <v>-9.9927688775314771E-2</v>
      </c>
      <c r="P139">
        <f t="shared" si="15"/>
        <v>0.47503884524049772</v>
      </c>
      <c r="Q139">
        <f t="shared" si="16"/>
        <v>0</v>
      </c>
      <c r="R139">
        <f t="shared" si="17"/>
        <v>0</v>
      </c>
      <c r="S139">
        <f t="shared" si="18"/>
        <v>0.52496115475950234</v>
      </c>
      <c r="T139">
        <f t="shared" si="19"/>
        <v>0.64443101006225878</v>
      </c>
    </row>
    <row r="140" spans="1:20" x14ac:dyDescent="0.25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4"/>
        <v>0.53162336320703152</v>
      </c>
      <c r="P140">
        <f t="shared" si="15"/>
        <v>0.62986165601008071</v>
      </c>
      <c r="Q140">
        <f t="shared" si="16"/>
        <v>1</v>
      </c>
      <c r="R140">
        <f t="shared" si="17"/>
        <v>0</v>
      </c>
      <c r="S140">
        <f t="shared" si="18"/>
        <v>0.62986165601008071</v>
      </c>
      <c r="T140">
        <f t="shared" si="19"/>
        <v>0.4622550773455637</v>
      </c>
    </row>
    <row r="141" spans="1:20" x14ac:dyDescent="0.25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4"/>
        <v>0.2674355393508141</v>
      </c>
      <c r="P141">
        <f t="shared" si="15"/>
        <v>0.5664632256190747</v>
      </c>
      <c r="Q141">
        <f t="shared" si="16"/>
        <v>1</v>
      </c>
      <c r="R141">
        <f t="shared" si="17"/>
        <v>1</v>
      </c>
      <c r="S141">
        <f t="shared" si="18"/>
        <v>0.4335367743809253</v>
      </c>
      <c r="T141">
        <f t="shared" si="19"/>
        <v>0.83577865503096671</v>
      </c>
    </row>
    <row r="142" spans="1:20" x14ac:dyDescent="0.25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4"/>
        <v>0.25572286819605927</v>
      </c>
      <c r="P142">
        <f t="shared" si="15"/>
        <v>0.56358458891977981</v>
      </c>
      <c r="Q142">
        <f t="shared" si="16"/>
        <v>1</v>
      </c>
      <c r="R142">
        <f t="shared" si="17"/>
        <v>1</v>
      </c>
      <c r="S142">
        <f t="shared" si="18"/>
        <v>0.43641541108022019</v>
      </c>
      <c r="T142">
        <f t="shared" si="19"/>
        <v>0.8291607115307551</v>
      </c>
    </row>
    <row r="143" spans="1:20" x14ac:dyDescent="0.25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4"/>
        <v>0.43536651539920235</v>
      </c>
      <c r="P143">
        <f t="shared" si="15"/>
        <v>0.60715441199924958</v>
      </c>
      <c r="Q143">
        <f t="shared" si="16"/>
        <v>1</v>
      </c>
      <c r="R143">
        <f t="shared" si="17"/>
        <v>0</v>
      </c>
      <c r="S143">
        <f t="shared" si="18"/>
        <v>0.60715441199924958</v>
      </c>
      <c r="T143">
        <f t="shared" si="19"/>
        <v>0.49897213477190933</v>
      </c>
    </row>
    <row r="144" spans="1:20" x14ac:dyDescent="0.25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4"/>
        <v>0.26231886981639563</v>
      </c>
      <c r="P144">
        <f t="shared" si="15"/>
        <v>0.56520623568598805</v>
      </c>
      <c r="Q144">
        <f t="shared" si="16"/>
        <v>1</v>
      </c>
      <c r="R144">
        <f t="shared" si="17"/>
        <v>1</v>
      </c>
      <c r="S144">
        <f t="shared" si="18"/>
        <v>0.43479376431401195</v>
      </c>
      <c r="T144">
        <f t="shared" si="19"/>
        <v>0.83288346534203539</v>
      </c>
    </row>
    <row r="145" spans="1:20" x14ac:dyDescent="0.25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4"/>
        <v>0.14064365016861757</v>
      </c>
      <c r="P145">
        <f t="shared" si="15"/>
        <v>0.53510306819059184</v>
      </c>
      <c r="Q145">
        <f t="shared" si="16"/>
        <v>1</v>
      </c>
      <c r="R145">
        <f t="shared" si="17"/>
        <v>1</v>
      </c>
      <c r="S145">
        <f t="shared" si="18"/>
        <v>0.46489693180940816</v>
      </c>
      <c r="T145">
        <f t="shared" si="19"/>
        <v>0.765939549985999</v>
      </c>
    </row>
    <row r="146" spans="1:20" x14ac:dyDescent="0.25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4"/>
        <v>0.61119072454252121</v>
      </c>
      <c r="P146">
        <f t="shared" si="15"/>
        <v>0.64821237457488623</v>
      </c>
      <c r="Q146">
        <f t="shared" si="16"/>
        <v>1</v>
      </c>
      <c r="R146">
        <f t="shared" si="17"/>
        <v>0</v>
      </c>
      <c r="S146">
        <f t="shared" si="18"/>
        <v>0.64821237457488623</v>
      </c>
      <c r="T146">
        <f t="shared" si="19"/>
        <v>0.43353689778291554</v>
      </c>
    </row>
    <row r="147" spans="1:20" x14ac:dyDescent="0.25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4"/>
        <v>0.97704548588617501</v>
      </c>
      <c r="P147">
        <f t="shared" si="15"/>
        <v>0.72652158295997205</v>
      </c>
      <c r="Q147">
        <f t="shared" si="16"/>
        <v>1</v>
      </c>
      <c r="R147">
        <f t="shared" si="17"/>
        <v>0</v>
      </c>
      <c r="S147">
        <f t="shared" si="18"/>
        <v>0.72652158295997205</v>
      </c>
      <c r="T147">
        <f t="shared" si="19"/>
        <v>0.31948708827822253</v>
      </c>
    </row>
    <row r="148" spans="1:20" x14ac:dyDescent="0.25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4"/>
        <v>-6.6079333639875948E-2</v>
      </c>
      <c r="P148">
        <f t="shared" si="15"/>
        <v>0.48348617509100156</v>
      </c>
      <c r="Q148">
        <f t="shared" si="16"/>
        <v>0</v>
      </c>
      <c r="R148">
        <f t="shared" si="17"/>
        <v>0</v>
      </c>
      <c r="S148">
        <f t="shared" si="18"/>
        <v>0.51651382490899844</v>
      </c>
      <c r="T148">
        <f t="shared" si="19"/>
        <v>0.66065322425791451</v>
      </c>
    </row>
    <row r="149" spans="1:20" x14ac:dyDescent="0.25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4"/>
        <v>0.78130016821112336</v>
      </c>
      <c r="P149">
        <f t="shared" si="15"/>
        <v>0.68596026228389217</v>
      </c>
      <c r="Q149">
        <f t="shared" si="16"/>
        <v>1</v>
      </c>
      <c r="R149">
        <f t="shared" si="17"/>
        <v>0</v>
      </c>
      <c r="S149">
        <f t="shared" si="18"/>
        <v>0.68596026228389217</v>
      </c>
      <c r="T149">
        <f t="shared" si="19"/>
        <v>0.37693557963393354</v>
      </c>
    </row>
    <row r="150" spans="1:20" x14ac:dyDescent="0.25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4"/>
        <v>1.0348376815375893</v>
      </c>
      <c r="P150">
        <f t="shared" si="15"/>
        <v>0.73785270577823792</v>
      </c>
      <c r="Q150">
        <f t="shared" si="16"/>
        <v>1</v>
      </c>
      <c r="R150">
        <f t="shared" si="17"/>
        <v>0</v>
      </c>
      <c r="S150">
        <f t="shared" si="18"/>
        <v>0.73785270577823792</v>
      </c>
      <c r="T150">
        <f t="shared" si="19"/>
        <v>0.30401105996787847</v>
      </c>
    </row>
    <row r="151" spans="1:20" x14ac:dyDescent="0.25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4"/>
        <v>0.93565022546666787</v>
      </c>
      <c r="P151">
        <f t="shared" si="15"/>
        <v>0.71822018645092067</v>
      </c>
      <c r="Q151">
        <f t="shared" si="16"/>
        <v>1</v>
      </c>
      <c r="R151">
        <f t="shared" si="17"/>
        <v>0</v>
      </c>
      <c r="S151">
        <f t="shared" si="18"/>
        <v>0.71822018645092067</v>
      </c>
      <c r="T151">
        <f t="shared" si="19"/>
        <v>0.33097909058024699</v>
      </c>
    </row>
    <row r="152" spans="1:20" x14ac:dyDescent="0.25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4"/>
        <v>0.78330508844273727</v>
      </c>
      <c r="P152">
        <f t="shared" si="15"/>
        <v>0.68639199864463096</v>
      </c>
      <c r="Q152">
        <f t="shared" si="16"/>
        <v>1</v>
      </c>
      <c r="R152">
        <f t="shared" si="17"/>
        <v>0</v>
      </c>
      <c r="S152">
        <f t="shared" si="18"/>
        <v>0.68639199864463096</v>
      </c>
      <c r="T152">
        <f t="shared" si="19"/>
        <v>0.37630638786258797</v>
      </c>
    </row>
    <row r="153" spans="1:20" x14ac:dyDescent="0.25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4"/>
        <v>0.17360519759846194</v>
      </c>
      <c r="P153">
        <f t="shared" si="15"/>
        <v>0.54329262179977933</v>
      </c>
      <c r="Q153">
        <f t="shared" si="16"/>
        <v>1</v>
      </c>
      <c r="R153">
        <f t="shared" si="17"/>
        <v>1</v>
      </c>
      <c r="S153">
        <f t="shared" si="18"/>
        <v>0.45670737820022067</v>
      </c>
      <c r="T153">
        <f t="shared" si="19"/>
        <v>0.78371240345809379</v>
      </c>
    </row>
    <row r="154" spans="1:20" x14ac:dyDescent="0.25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4"/>
        <v>-4.8973074680474737E-2</v>
      </c>
      <c r="P154">
        <f t="shared" si="15"/>
        <v>0.48775917772572103</v>
      </c>
      <c r="Q154">
        <f t="shared" si="16"/>
        <v>0</v>
      </c>
      <c r="R154">
        <f t="shared" si="17"/>
        <v>0</v>
      </c>
      <c r="S154">
        <f t="shared" si="18"/>
        <v>0.51224082227427892</v>
      </c>
      <c r="T154">
        <f t="shared" si="19"/>
        <v>0.66896040852088956</v>
      </c>
    </row>
    <row r="155" spans="1:20" x14ac:dyDescent="0.25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4"/>
        <v>0.2052652256789802</v>
      </c>
      <c r="P155">
        <f t="shared" si="15"/>
        <v>0.55113688305654895</v>
      </c>
      <c r="Q155">
        <f t="shared" si="16"/>
        <v>1</v>
      </c>
      <c r="R155">
        <f t="shared" si="17"/>
        <v>1</v>
      </c>
      <c r="S155">
        <f t="shared" si="18"/>
        <v>0.44886311694345105</v>
      </c>
      <c r="T155">
        <f t="shared" si="19"/>
        <v>0.80103729976107341</v>
      </c>
    </row>
    <row r="156" spans="1:20" x14ac:dyDescent="0.25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4"/>
        <v>0.1413146699678518</v>
      </c>
      <c r="P156">
        <f t="shared" si="15"/>
        <v>0.53526999235462458</v>
      </c>
      <c r="Q156">
        <f t="shared" si="16"/>
        <v>1</v>
      </c>
      <c r="R156">
        <f t="shared" si="17"/>
        <v>0</v>
      </c>
      <c r="S156">
        <f t="shared" si="18"/>
        <v>0.53526999235462458</v>
      </c>
      <c r="T156">
        <f t="shared" si="19"/>
        <v>0.62498400077668426</v>
      </c>
    </row>
    <row r="157" spans="1:20" x14ac:dyDescent="0.25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4"/>
        <v>0.97923413022207551</v>
      </c>
      <c r="P157">
        <f t="shared" si="15"/>
        <v>0.72695622460745235</v>
      </c>
      <c r="Q157">
        <f t="shared" si="16"/>
        <v>1</v>
      </c>
      <c r="R157">
        <f t="shared" si="17"/>
        <v>0</v>
      </c>
      <c r="S157">
        <f t="shared" si="18"/>
        <v>0.72695622460745235</v>
      </c>
      <c r="T157">
        <f t="shared" si="19"/>
        <v>0.31888901700644534</v>
      </c>
    </row>
    <row r="158" spans="1:20" x14ac:dyDescent="0.25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4"/>
        <v>0.27111474221533749</v>
      </c>
      <c r="P158">
        <f t="shared" si="15"/>
        <v>0.56736655205938324</v>
      </c>
      <c r="Q158">
        <f t="shared" si="16"/>
        <v>1</v>
      </c>
      <c r="R158">
        <f t="shared" si="17"/>
        <v>1</v>
      </c>
      <c r="S158">
        <f t="shared" si="18"/>
        <v>0.43263344794061676</v>
      </c>
      <c r="T158">
        <f t="shared" si="19"/>
        <v>0.83786445005029664</v>
      </c>
    </row>
    <row r="159" spans="1:20" x14ac:dyDescent="0.25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4"/>
        <v>-1.8725528012023929E-2</v>
      </c>
      <c r="P159">
        <f t="shared" si="15"/>
        <v>0.49531875478428605</v>
      </c>
      <c r="Q159">
        <f t="shared" si="16"/>
        <v>0</v>
      </c>
      <c r="R159">
        <f t="shared" si="17"/>
        <v>0</v>
      </c>
      <c r="S159">
        <f t="shared" si="18"/>
        <v>0.50468124521571389</v>
      </c>
      <c r="T159">
        <f t="shared" si="19"/>
        <v>0.6838282465884884</v>
      </c>
    </row>
    <row r="160" spans="1:20" x14ac:dyDescent="0.25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4"/>
        <v>0.44848913389713951</v>
      </c>
      <c r="P160">
        <f t="shared" si="15"/>
        <v>0.61027995200643248</v>
      </c>
      <c r="Q160">
        <f t="shared" si="16"/>
        <v>1</v>
      </c>
      <c r="R160">
        <f t="shared" si="17"/>
        <v>1</v>
      </c>
      <c r="S160">
        <f t="shared" si="18"/>
        <v>0.38972004799356752</v>
      </c>
      <c r="T160">
        <f t="shared" si="19"/>
        <v>0.94232662327616001</v>
      </c>
    </row>
    <row r="161" spans="1:20" x14ac:dyDescent="0.25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4"/>
        <v>0.43202733441816177</v>
      </c>
      <c r="P161">
        <f t="shared" si="15"/>
        <v>0.60635767311790079</v>
      </c>
      <c r="Q161">
        <f t="shared" si="16"/>
        <v>1</v>
      </c>
      <c r="R161">
        <f t="shared" si="17"/>
        <v>0</v>
      </c>
      <c r="S161">
        <f t="shared" si="18"/>
        <v>0.60635767311790079</v>
      </c>
      <c r="T161">
        <f t="shared" si="19"/>
        <v>0.50028524735744118</v>
      </c>
    </row>
    <row r="162" spans="1:20" x14ac:dyDescent="0.25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4"/>
        <v>1.1646316960862824</v>
      </c>
      <c r="P162">
        <f t="shared" si="15"/>
        <v>0.76217329920533028</v>
      </c>
      <c r="Q162">
        <f t="shared" si="16"/>
        <v>1</v>
      </c>
      <c r="R162">
        <f t="shared" si="17"/>
        <v>0</v>
      </c>
      <c r="S162">
        <f t="shared" si="18"/>
        <v>0.76217329920533028</v>
      </c>
      <c r="T162">
        <f t="shared" si="19"/>
        <v>0.27158132237439153</v>
      </c>
    </row>
    <row r="163" spans="1:20" x14ac:dyDescent="0.25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4"/>
        <v>0.40311228550513123</v>
      </c>
      <c r="P163">
        <f t="shared" si="15"/>
        <v>0.59943518994604095</v>
      </c>
      <c r="Q163">
        <f t="shared" si="16"/>
        <v>1</v>
      </c>
      <c r="R163">
        <f t="shared" si="17"/>
        <v>0</v>
      </c>
      <c r="S163">
        <f t="shared" si="18"/>
        <v>0.59943518994604095</v>
      </c>
      <c r="T163">
        <f t="shared" si="19"/>
        <v>0.51176741720417074</v>
      </c>
    </row>
    <row r="164" spans="1:20" x14ac:dyDescent="0.25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4"/>
        <v>0.7323986454650977</v>
      </c>
      <c r="P164">
        <f t="shared" si="15"/>
        <v>0.67533141795612939</v>
      </c>
      <c r="Q164">
        <f t="shared" si="16"/>
        <v>1</v>
      </c>
      <c r="R164">
        <f t="shared" si="17"/>
        <v>0</v>
      </c>
      <c r="S164">
        <f t="shared" si="18"/>
        <v>0.67533141795612939</v>
      </c>
      <c r="T164">
        <f t="shared" si="19"/>
        <v>0.39255171904090752</v>
      </c>
    </row>
    <row r="165" spans="1:20" x14ac:dyDescent="0.25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4"/>
        <v>0.79529902508070238</v>
      </c>
      <c r="P165">
        <f t="shared" si="15"/>
        <v>0.68896800000947533</v>
      </c>
      <c r="Q165">
        <f t="shared" si="16"/>
        <v>1</v>
      </c>
      <c r="R165">
        <f t="shared" si="17"/>
        <v>0</v>
      </c>
      <c r="S165">
        <f t="shared" si="18"/>
        <v>0.68896800000947533</v>
      </c>
      <c r="T165">
        <f t="shared" si="19"/>
        <v>0.37256045315520298</v>
      </c>
    </row>
    <row r="166" spans="1:20" x14ac:dyDescent="0.25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4"/>
        <v>0.54062324228443481</v>
      </c>
      <c r="P166">
        <f t="shared" si="15"/>
        <v>0.63195738786160083</v>
      </c>
      <c r="Q166">
        <f t="shared" si="16"/>
        <v>1</v>
      </c>
      <c r="R166">
        <f t="shared" si="17"/>
        <v>1</v>
      </c>
      <c r="S166">
        <f t="shared" si="18"/>
        <v>0.36804261213839917</v>
      </c>
      <c r="T166">
        <f t="shared" si="19"/>
        <v>0.99955655366245144</v>
      </c>
    </row>
    <row r="167" spans="1:20" x14ac:dyDescent="0.25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4"/>
        <v>0.2945929988939</v>
      </c>
      <c r="P167">
        <f t="shared" si="15"/>
        <v>0.5731202014253286</v>
      </c>
      <c r="Q167">
        <f t="shared" si="16"/>
        <v>1</v>
      </c>
      <c r="R167">
        <f t="shared" si="17"/>
        <v>1</v>
      </c>
      <c r="S167">
        <f t="shared" si="18"/>
        <v>0.4268797985746714</v>
      </c>
      <c r="T167">
        <f t="shared" si="19"/>
        <v>0.85125280754973076</v>
      </c>
    </row>
    <row r="168" spans="1:20" x14ac:dyDescent="0.25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4"/>
        <v>0.19414863118229952</v>
      </c>
      <c r="P168">
        <f t="shared" si="15"/>
        <v>0.54838526824538147</v>
      </c>
      <c r="Q168">
        <f t="shared" si="16"/>
        <v>1</v>
      </c>
      <c r="R168">
        <f t="shared" si="17"/>
        <v>1</v>
      </c>
      <c r="S168">
        <f t="shared" si="18"/>
        <v>0.45161473175461853</v>
      </c>
      <c r="T168">
        <f t="shared" si="19"/>
        <v>0.79492582599285766</v>
      </c>
    </row>
    <row r="169" spans="1:20" x14ac:dyDescent="0.25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4"/>
        <v>9.2893254626622124E-2</v>
      </c>
      <c r="P169">
        <f t="shared" si="15"/>
        <v>0.52320662825344388</v>
      </c>
      <c r="Q169">
        <f t="shared" si="16"/>
        <v>1</v>
      </c>
      <c r="R169">
        <f t="shared" si="17"/>
        <v>1</v>
      </c>
      <c r="S169">
        <f t="shared" si="18"/>
        <v>0.47679337174655612</v>
      </c>
      <c r="T169">
        <f t="shared" si="19"/>
        <v>0.74067206486588755</v>
      </c>
    </row>
    <row r="170" spans="1:20" x14ac:dyDescent="0.25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4"/>
        <v>0.3521966170895483</v>
      </c>
      <c r="P170">
        <f t="shared" si="15"/>
        <v>0.58715015129503156</v>
      </c>
      <c r="Q170">
        <f t="shared" si="16"/>
        <v>1</v>
      </c>
      <c r="R170">
        <f t="shared" si="17"/>
        <v>1</v>
      </c>
      <c r="S170">
        <f t="shared" si="18"/>
        <v>0.41284984870496844</v>
      </c>
      <c r="T170">
        <f t="shared" si="19"/>
        <v>0.88467131458366077</v>
      </c>
    </row>
    <row r="171" spans="1:20" x14ac:dyDescent="0.25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4"/>
        <v>1.2924300715533625</v>
      </c>
      <c r="P171">
        <f t="shared" si="15"/>
        <v>0.78455821998138042</v>
      </c>
      <c r="Q171">
        <f t="shared" si="16"/>
        <v>1</v>
      </c>
      <c r="R171">
        <f t="shared" si="17"/>
        <v>0</v>
      </c>
      <c r="S171">
        <f t="shared" si="18"/>
        <v>0.78455821998138042</v>
      </c>
      <c r="T171">
        <f t="shared" si="19"/>
        <v>0.24263449671197915</v>
      </c>
    </row>
    <row r="172" spans="1:20" x14ac:dyDescent="0.25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4"/>
        <v>0.96438487097602121</v>
      </c>
      <c r="P172">
        <f t="shared" si="15"/>
        <v>0.72399886985546114</v>
      </c>
      <c r="Q172">
        <f t="shared" si="16"/>
        <v>1</v>
      </c>
      <c r="R172">
        <f t="shared" si="17"/>
        <v>1</v>
      </c>
      <c r="S172">
        <f t="shared" si="18"/>
        <v>0.27600113014453886</v>
      </c>
      <c r="T172">
        <f t="shared" si="19"/>
        <v>1.2873503185467803</v>
      </c>
    </row>
    <row r="173" spans="1:20" x14ac:dyDescent="0.25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4"/>
        <v>0.89112313825587552</v>
      </c>
      <c r="P173">
        <f t="shared" si="15"/>
        <v>0.70912189448604079</v>
      </c>
      <c r="Q173">
        <f t="shared" si="16"/>
        <v>1</v>
      </c>
      <c r="R173">
        <f t="shared" si="17"/>
        <v>0</v>
      </c>
      <c r="S173">
        <f t="shared" si="18"/>
        <v>0.70912189448604079</v>
      </c>
      <c r="T173">
        <f t="shared" si="19"/>
        <v>0.34372784270541717</v>
      </c>
    </row>
    <row r="174" spans="1:20" x14ac:dyDescent="0.25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4"/>
        <v>-0.1026438022444105</v>
      </c>
      <c r="P174">
        <f t="shared" si="15"/>
        <v>0.47436155550765019</v>
      </c>
      <c r="Q174">
        <f t="shared" si="16"/>
        <v>0</v>
      </c>
      <c r="R174">
        <f t="shared" si="17"/>
        <v>0</v>
      </c>
      <c r="S174">
        <f t="shared" si="18"/>
        <v>0.52563844449234987</v>
      </c>
      <c r="T174">
        <f t="shared" si="19"/>
        <v>0.6431416704753089</v>
      </c>
    </row>
    <row r="175" spans="1:20" x14ac:dyDescent="0.25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4"/>
        <v>0.97421249819712918</v>
      </c>
      <c r="P175">
        <f t="shared" si="15"/>
        <v>0.72595834130608161</v>
      </c>
      <c r="Q175">
        <f t="shared" si="16"/>
        <v>1</v>
      </c>
      <c r="R175">
        <f t="shared" si="17"/>
        <v>0</v>
      </c>
      <c r="S175">
        <f t="shared" si="18"/>
        <v>0.72595834130608161</v>
      </c>
      <c r="T175">
        <f t="shared" si="19"/>
        <v>0.32026264692480017</v>
      </c>
    </row>
    <row r="176" spans="1:20" x14ac:dyDescent="0.25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4"/>
        <v>0.18447160244772298</v>
      </c>
      <c r="P176">
        <f t="shared" si="15"/>
        <v>0.54598756232817847</v>
      </c>
      <c r="Q176">
        <f t="shared" si="16"/>
        <v>1</v>
      </c>
      <c r="R176">
        <f t="shared" si="17"/>
        <v>1</v>
      </c>
      <c r="S176">
        <f t="shared" si="18"/>
        <v>0.45401243767182153</v>
      </c>
      <c r="T176">
        <f t="shared" si="19"/>
        <v>0.78963068556313498</v>
      </c>
    </row>
    <row r="177" spans="1:20" x14ac:dyDescent="0.25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4"/>
        <v>0.67273256796283643</v>
      </c>
      <c r="P177">
        <f t="shared" si="15"/>
        <v>0.66211475659479169</v>
      </c>
      <c r="Q177">
        <f t="shared" si="16"/>
        <v>1</v>
      </c>
      <c r="R177">
        <f t="shared" si="17"/>
        <v>0</v>
      </c>
      <c r="S177">
        <f t="shared" si="18"/>
        <v>0.66211475659479169</v>
      </c>
      <c r="T177">
        <f t="shared" si="19"/>
        <v>0.41231638973771351</v>
      </c>
    </row>
    <row r="178" spans="1:20" x14ac:dyDescent="0.25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4"/>
        <v>0.3489415264538871</v>
      </c>
      <c r="P178">
        <f t="shared" si="15"/>
        <v>0.58636087832873396</v>
      </c>
      <c r="Q178">
        <f t="shared" si="16"/>
        <v>1</v>
      </c>
      <c r="R178">
        <f t="shared" si="17"/>
        <v>1</v>
      </c>
      <c r="S178">
        <f t="shared" si="18"/>
        <v>0.41363912167126604</v>
      </c>
      <c r="T178">
        <f t="shared" si="19"/>
        <v>0.88276137208105387</v>
      </c>
    </row>
    <row r="179" spans="1:20" x14ac:dyDescent="0.25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4"/>
        <v>1.1275820617374592</v>
      </c>
      <c r="P179">
        <f t="shared" si="15"/>
        <v>0.75539240116621076</v>
      </c>
      <c r="Q179">
        <f t="shared" si="16"/>
        <v>1</v>
      </c>
      <c r="R179">
        <f t="shared" si="17"/>
        <v>0</v>
      </c>
      <c r="S179">
        <f t="shared" si="18"/>
        <v>0.75539240116621076</v>
      </c>
      <c r="T179">
        <f t="shared" si="19"/>
        <v>0.28051792810543424</v>
      </c>
    </row>
    <row r="180" spans="1:20" x14ac:dyDescent="0.25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4"/>
        <v>0.8906314185996671</v>
      </c>
      <c r="P180">
        <f t="shared" si="15"/>
        <v>0.70902045801104352</v>
      </c>
      <c r="Q180">
        <f t="shared" si="16"/>
        <v>1</v>
      </c>
      <c r="R180">
        <f t="shared" si="17"/>
        <v>0</v>
      </c>
      <c r="S180">
        <f t="shared" si="18"/>
        <v>0.70902045801104352</v>
      </c>
      <c r="T180">
        <f t="shared" si="19"/>
        <v>0.34387089812575866</v>
      </c>
    </row>
    <row r="181" spans="1:20" x14ac:dyDescent="0.25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4"/>
        <v>-3.3417065460110584E-2</v>
      </c>
      <c r="P181">
        <f t="shared" si="15"/>
        <v>0.49164651098245399</v>
      </c>
      <c r="Q181">
        <f t="shared" si="16"/>
        <v>0</v>
      </c>
      <c r="R181">
        <f t="shared" si="17"/>
        <v>0</v>
      </c>
      <c r="S181">
        <f t="shared" si="18"/>
        <v>0.50835348901754607</v>
      </c>
      <c r="T181">
        <f t="shared" si="19"/>
        <v>0.67657822886847596</v>
      </c>
    </row>
    <row r="182" spans="1:20" x14ac:dyDescent="0.25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4"/>
        <v>0.47740257087255178</v>
      </c>
      <c r="P182">
        <f t="shared" si="15"/>
        <v>0.61713434240572029</v>
      </c>
      <c r="Q182">
        <f t="shared" si="16"/>
        <v>1</v>
      </c>
      <c r="R182">
        <f t="shared" si="17"/>
        <v>1</v>
      </c>
      <c r="S182">
        <f t="shared" si="18"/>
        <v>0.38286565759427971</v>
      </c>
      <c r="T182">
        <f t="shared" si="19"/>
        <v>0.9600711147947939</v>
      </c>
    </row>
    <row r="183" spans="1:20" x14ac:dyDescent="0.25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4"/>
        <v>0.53485402156487472</v>
      </c>
      <c r="P183">
        <f t="shared" si="15"/>
        <v>0.63061452210518998</v>
      </c>
      <c r="Q183">
        <f t="shared" si="16"/>
        <v>1</v>
      </c>
      <c r="R183">
        <f t="shared" si="17"/>
        <v>1</v>
      </c>
      <c r="S183">
        <f t="shared" si="18"/>
        <v>0.36938547789481002</v>
      </c>
      <c r="T183">
        <f t="shared" si="19"/>
        <v>0.99591452467300434</v>
      </c>
    </row>
    <row r="184" spans="1:20" x14ac:dyDescent="0.25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4"/>
        <v>0.75854878152106919</v>
      </c>
      <c r="P184">
        <f t="shared" si="15"/>
        <v>0.68103857566113191</v>
      </c>
      <c r="Q184">
        <f t="shared" si="16"/>
        <v>1</v>
      </c>
      <c r="R184">
        <f t="shared" si="17"/>
        <v>0</v>
      </c>
      <c r="S184">
        <f t="shared" si="18"/>
        <v>0.68103857566113191</v>
      </c>
      <c r="T184">
        <f t="shared" si="19"/>
        <v>0.38413632882586668</v>
      </c>
    </row>
    <row r="185" spans="1:20" x14ac:dyDescent="0.25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4"/>
        <v>0.65281510731843007</v>
      </c>
      <c r="P185">
        <f t="shared" si="15"/>
        <v>0.65764455998349558</v>
      </c>
      <c r="Q185">
        <f t="shared" si="16"/>
        <v>1</v>
      </c>
      <c r="R185">
        <f t="shared" si="17"/>
        <v>0</v>
      </c>
      <c r="S185">
        <f t="shared" si="18"/>
        <v>0.65764455998349558</v>
      </c>
      <c r="T185">
        <f t="shared" si="19"/>
        <v>0.41909067600379613</v>
      </c>
    </row>
    <row r="186" spans="1:20" x14ac:dyDescent="0.25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4"/>
        <v>1.1713123832204539</v>
      </c>
      <c r="P186">
        <f t="shared" si="15"/>
        <v>0.76338215323428238</v>
      </c>
      <c r="Q186">
        <f t="shared" si="16"/>
        <v>1</v>
      </c>
      <c r="R186">
        <f t="shared" si="17"/>
        <v>0</v>
      </c>
      <c r="S186">
        <f t="shared" si="18"/>
        <v>0.76338215323428238</v>
      </c>
      <c r="T186">
        <f t="shared" si="19"/>
        <v>0.26999651694495547</v>
      </c>
    </row>
    <row r="187" spans="1:20" x14ac:dyDescent="0.25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4"/>
        <v>9.1930320973008905E-2</v>
      </c>
      <c r="P187">
        <f t="shared" si="15"/>
        <v>0.52296640807613903</v>
      </c>
      <c r="Q187">
        <f t="shared" si="16"/>
        <v>1</v>
      </c>
      <c r="R187">
        <f t="shared" si="17"/>
        <v>1</v>
      </c>
      <c r="S187">
        <f t="shared" si="18"/>
        <v>0.47703359192386097</v>
      </c>
      <c r="T187">
        <f t="shared" si="19"/>
        <v>0.74016836725293822</v>
      </c>
    </row>
    <row r="188" spans="1:20" x14ac:dyDescent="0.25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4"/>
        <v>0.30117736701209363</v>
      </c>
      <c r="P188">
        <f t="shared" si="15"/>
        <v>0.57473030870657571</v>
      </c>
      <c r="Q188">
        <f t="shared" si="16"/>
        <v>1</v>
      </c>
      <c r="R188">
        <f t="shared" si="17"/>
        <v>1</v>
      </c>
      <c r="S188">
        <f t="shared" si="18"/>
        <v>0.42526969129342429</v>
      </c>
      <c r="T188">
        <f t="shared" si="19"/>
        <v>0.85503174356146616</v>
      </c>
    </row>
    <row r="189" spans="1:20" x14ac:dyDescent="0.25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4"/>
        <v>0.37746615709740206</v>
      </c>
      <c r="P189">
        <f t="shared" si="15"/>
        <v>0.59326182576503372</v>
      </c>
      <c r="Q189">
        <f t="shared" si="16"/>
        <v>1</v>
      </c>
      <c r="R189">
        <f t="shared" si="17"/>
        <v>1</v>
      </c>
      <c r="S189">
        <f t="shared" si="18"/>
        <v>0.40673817423496628</v>
      </c>
      <c r="T189">
        <f t="shared" si="19"/>
        <v>0.89958560709797941</v>
      </c>
    </row>
    <row r="190" spans="1:20" x14ac:dyDescent="0.25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4"/>
        <v>0.90434827212616908</v>
      </c>
      <c r="P190">
        <f t="shared" si="15"/>
        <v>0.71184225358673858</v>
      </c>
      <c r="Q190">
        <f t="shared" si="16"/>
        <v>1</v>
      </c>
      <c r="R190">
        <f t="shared" si="17"/>
        <v>0</v>
      </c>
      <c r="S190">
        <f t="shared" si="18"/>
        <v>0.71184225358673858</v>
      </c>
      <c r="T190">
        <f t="shared" si="19"/>
        <v>0.33989894606807347</v>
      </c>
    </row>
    <row r="191" spans="1:20" x14ac:dyDescent="0.25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4"/>
        <v>9.5723321481523405E-2</v>
      </c>
      <c r="P191">
        <f t="shared" si="15"/>
        <v>0.52391257400638314</v>
      </c>
      <c r="Q191">
        <f t="shared" si="16"/>
        <v>1</v>
      </c>
      <c r="R191">
        <f t="shared" si="17"/>
        <v>1</v>
      </c>
      <c r="S191">
        <f t="shared" si="18"/>
        <v>0.47608742599361686</v>
      </c>
      <c r="T191">
        <f t="shared" si="19"/>
        <v>0.74215377356181211</v>
      </c>
    </row>
    <row r="192" spans="1:20" x14ac:dyDescent="0.25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4"/>
        <v>0.81902950109780859</v>
      </c>
      <c r="P192">
        <f t="shared" si="15"/>
        <v>0.69403029130279137</v>
      </c>
      <c r="Q192">
        <f t="shared" si="16"/>
        <v>1</v>
      </c>
      <c r="R192">
        <f t="shared" si="17"/>
        <v>0</v>
      </c>
      <c r="S192">
        <f t="shared" si="18"/>
        <v>0.69403029130279137</v>
      </c>
      <c r="T192">
        <f t="shared" si="19"/>
        <v>0.36523967201749086</v>
      </c>
    </row>
    <row r="193" spans="1:20" x14ac:dyDescent="0.25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4"/>
        <v>0.34387968621171949</v>
      </c>
      <c r="P193">
        <f t="shared" si="15"/>
        <v>0.58513263619434908</v>
      </c>
      <c r="Q193">
        <f t="shared" si="16"/>
        <v>1</v>
      </c>
      <c r="R193">
        <f t="shared" si="17"/>
        <v>1</v>
      </c>
      <c r="S193">
        <f t="shared" si="18"/>
        <v>0.41486736380565092</v>
      </c>
      <c r="T193">
        <f t="shared" si="19"/>
        <v>0.87979641512368167</v>
      </c>
    </row>
    <row r="194" spans="1:20" x14ac:dyDescent="0.25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4"/>
        <v>0.52499023940867606</v>
      </c>
      <c r="P194">
        <f t="shared" si="15"/>
        <v>0.62831390885324767</v>
      </c>
      <c r="Q194">
        <f t="shared" si="16"/>
        <v>1</v>
      </c>
      <c r="R194">
        <f t="shared" si="17"/>
        <v>1</v>
      </c>
      <c r="S194">
        <f t="shared" si="18"/>
        <v>0.37168609114675233</v>
      </c>
      <c r="T194">
        <f t="shared" si="19"/>
        <v>0.9897056219465814</v>
      </c>
    </row>
    <row r="195" spans="1:20" x14ac:dyDescent="0.25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4"/>
        <v>0.10094090262948807</v>
      </c>
      <c r="P195">
        <f t="shared" si="15"/>
        <v>0.52521382051900234</v>
      </c>
      <c r="Q195">
        <f t="shared" si="16"/>
        <v>1</v>
      </c>
      <c r="R195">
        <f t="shared" si="17"/>
        <v>1</v>
      </c>
      <c r="S195">
        <f t="shared" si="18"/>
        <v>0.47478617948099766</v>
      </c>
      <c r="T195">
        <f t="shared" si="19"/>
        <v>0.74489072475578721</v>
      </c>
    </row>
    <row r="196" spans="1:20" x14ac:dyDescent="0.25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4"/>
        <v>0.41501645878692606</v>
      </c>
      <c r="P196">
        <f t="shared" si="15"/>
        <v>0.60229011937929244</v>
      </c>
      <c r="Q196">
        <f t="shared" si="16"/>
        <v>1</v>
      </c>
      <c r="R196">
        <f t="shared" si="17"/>
        <v>1</v>
      </c>
      <c r="S196">
        <f t="shared" si="18"/>
        <v>0.39770988062070756</v>
      </c>
      <c r="T196">
        <f t="shared" si="19"/>
        <v>0.92203248266999949</v>
      </c>
    </row>
    <row r="197" spans="1:20" x14ac:dyDescent="0.25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4"/>
        <v>-3.5521141088823205E-2</v>
      </c>
      <c r="P197">
        <f t="shared" si="15"/>
        <v>0.49112064833607505</v>
      </c>
      <c r="Q197">
        <f t="shared" si="16"/>
        <v>0</v>
      </c>
      <c r="R197">
        <f t="shared" si="17"/>
        <v>0</v>
      </c>
      <c r="S197">
        <f t="shared" si="18"/>
        <v>0.50887935166392495</v>
      </c>
      <c r="T197">
        <f t="shared" si="19"/>
        <v>0.6755443206575088</v>
      </c>
    </row>
    <row r="198" spans="1:20" x14ac:dyDescent="0.25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ref="O198:O219" si="20">SUMPRODUCT(A$4:M$4, A198:M198)+N$4</f>
        <v>-2.5292091012921847E-2</v>
      </c>
      <c r="P198">
        <f t="shared" ref="P198:P219" si="21">1/(1+EXP(0-O198))</f>
        <v>0.49367731428967504</v>
      </c>
      <c r="Q198">
        <f t="shared" ref="Q198:Q219" si="22">IF(P198&lt;=0.5, 0, 1)</f>
        <v>0</v>
      </c>
      <c r="R198">
        <f t="shared" ref="R198:R219" si="23">IF(N198=Q198, 0, 1)</f>
        <v>0</v>
      </c>
      <c r="S198">
        <f t="shared" ref="S198:S219" si="24">IF(N198=1, P198, 1-P198)</f>
        <v>0.5063226857103249</v>
      </c>
      <c r="T198">
        <f t="shared" si="19"/>
        <v>0.68058109415578483</v>
      </c>
    </row>
    <row r="199" spans="1:20" x14ac:dyDescent="0.25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si="20"/>
        <v>-0.1255303540146222</v>
      </c>
      <c r="P199">
        <f t="shared" si="21"/>
        <v>0.46865855688976615</v>
      </c>
      <c r="Q199">
        <f t="shared" si="22"/>
        <v>0</v>
      </c>
      <c r="R199">
        <f t="shared" si="23"/>
        <v>0</v>
      </c>
      <c r="S199">
        <f t="shared" si="24"/>
        <v>0.5313414431102339</v>
      </c>
      <c r="T199">
        <f t="shared" ref="T199:T219" si="25">IF(S199=0, 100000, -LN(S199))</f>
        <v>0.63235044534837159</v>
      </c>
    </row>
    <row r="200" spans="1:20" x14ac:dyDescent="0.25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20"/>
        <v>0.6026227396064554</v>
      </c>
      <c r="P200">
        <f t="shared" si="21"/>
        <v>0.64625611823142293</v>
      </c>
      <c r="Q200">
        <f t="shared" si="22"/>
        <v>1</v>
      </c>
      <c r="R200">
        <f t="shared" si="23"/>
        <v>0</v>
      </c>
      <c r="S200">
        <f t="shared" si="24"/>
        <v>0.64625611823142293</v>
      </c>
      <c r="T200">
        <f t="shared" si="25"/>
        <v>0.43655938592164656</v>
      </c>
    </row>
    <row r="201" spans="1:20" x14ac:dyDescent="0.25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20"/>
        <v>-0.17697483093922228</v>
      </c>
      <c r="P201">
        <f t="shared" si="21"/>
        <v>0.45587140814656085</v>
      </c>
      <c r="Q201">
        <f t="shared" si="22"/>
        <v>0</v>
      </c>
      <c r="R201">
        <f t="shared" si="23"/>
        <v>0</v>
      </c>
      <c r="S201">
        <f t="shared" si="24"/>
        <v>0.54412859185343909</v>
      </c>
      <c r="T201">
        <f t="shared" si="25"/>
        <v>0.6085696779765094</v>
      </c>
    </row>
    <row r="202" spans="1:20" x14ac:dyDescent="0.25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20"/>
        <v>0.21617524838811297</v>
      </c>
      <c r="P202">
        <f t="shared" si="21"/>
        <v>0.55383432756121487</v>
      </c>
      <c r="Q202">
        <f t="shared" si="22"/>
        <v>1</v>
      </c>
      <c r="R202">
        <f t="shared" si="23"/>
        <v>1</v>
      </c>
      <c r="S202">
        <f t="shared" si="24"/>
        <v>0.44616567243878513</v>
      </c>
      <c r="T202">
        <f t="shared" si="25"/>
        <v>0.80706493307009197</v>
      </c>
    </row>
    <row r="203" spans="1:20" x14ac:dyDescent="0.25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20"/>
        <v>-1.7454048631195263E-3</v>
      </c>
      <c r="P203">
        <f t="shared" si="21"/>
        <v>0.49956364889499655</v>
      </c>
      <c r="Q203">
        <f t="shared" si="22"/>
        <v>0</v>
      </c>
      <c r="R203">
        <f t="shared" si="23"/>
        <v>0</v>
      </c>
      <c r="S203">
        <f t="shared" si="24"/>
        <v>0.5004363511050034</v>
      </c>
      <c r="T203">
        <f t="shared" si="25"/>
        <v>0.69227485893310448</v>
      </c>
    </row>
    <row r="204" spans="1:20" x14ac:dyDescent="0.25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20"/>
        <v>-7.5257157612885761E-3</v>
      </c>
      <c r="P204">
        <f t="shared" si="21"/>
        <v>0.49811857993940745</v>
      </c>
      <c r="Q204">
        <f t="shared" si="22"/>
        <v>0</v>
      </c>
      <c r="R204">
        <f t="shared" si="23"/>
        <v>0</v>
      </c>
      <c r="S204">
        <f t="shared" si="24"/>
        <v>0.50188142006059255</v>
      </c>
      <c r="T204">
        <f t="shared" si="25"/>
        <v>0.68939140221230955</v>
      </c>
    </row>
    <row r="205" spans="1:20" x14ac:dyDescent="0.25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20"/>
        <v>0.42991714114581892</v>
      </c>
      <c r="P205">
        <f t="shared" si="21"/>
        <v>0.60585388232890958</v>
      </c>
      <c r="Q205">
        <f t="shared" si="22"/>
        <v>1</v>
      </c>
      <c r="R205">
        <f t="shared" si="23"/>
        <v>0</v>
      </c>
      <c r="S205">
        <f t="shared" si="24"/>
        <v>0.60585388232890958</v>
      </c>
      <c r="T205">
        <f t="shared" si="25"/>
        <v>0.50111644025563218</v>
      </c>
    </row>
    <row r="206" spans="1:20" x14ac:dyDescent="0.25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20"/>
        <v>0.93292477554559583</v>
      </c>
      <c r="P206">
        <f t="shared" si="21"/>
        <v>0.7176682821290884</v>
      </c>
      <c r="Q206">
        <f t="shared" si="22"/>
        <v>1</v>
      </c>
      <c r="R206">
        <f t="shared" si="23"/>
        <v>1</v>
      </c>
      <c r="S206">
        <f t="shared" si="24"/>
        <v>0.2823317178709116</v>
      </c>
      <c r="T206">
        <f t="shared" si="25"/>
        <v>1.2646725948413213</v>
      </c>
    </row>
    <row r="207" spans="1:20" x14ac:dyDescent="0.25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20"/>
        <v>3.7533010119050525E-2</v>
      </c>
      <c r="P207">
        <f t="shared" si="21"/>
        <v>0.50938215114826979</v>
      </c>
      <c r="Q207">
        <f t="shared" si="22"/>
        <v>1</v>
      </c>
      <c r="R207">
        <f t="shared" si="23"/>
        <v>1</v>
      </c>
      <c r="S207">
        <f t="shared" si="24"/>
        <v>0.49061784885173021</v>
      </c>
      <c r="T207">
        <f t="shared" si="25"/>
        <v>0.71208976614051922</v>
      </c>
    </row>
    <row r="208" spans="1:20" x14ac:dyDescent="0.25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20"/>
        <v>0.22557357552935775</v>
      </c>
      <c r="P208">
        <f t="shared" si="21"/>
        <v>0.55615548024874994</v>
      </c>
      <c r="Q208">
        <f t="shared" si="22"/>
        <v>1</v>
      </c>
      <c r="R208">
        <f t="shared" si="23"/>
        <v>0</v>
      </c>
      <c r="S208">
        <f t="shared" si="24"/>
        <v>0.55615548024874994</v>
      </c>
      <c r="T208">
        <f t="shared" si="25"/>
        <v>0.58670738308857562</v>
      </c>
    </row>
    <row r="209" spans="1:20" x14ac:dyDescent="0.25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20"/>
        <v>-0.16567372862433505</v>
      </c>
      <c r="P209">
        <f t="shared" si="21"/>
        <v>0.45867604554820474</v>
      </c>
      <c r="Q209">
        <f t="shared" si="22"/>
        <v>0</v>
      </c>
      <c r="R209">
        <f t="shared" si="23"/>
        <v>0</v>
      </c>
      <c r="S209">
        <f t="shared" si="24"/>
        <v>0.54132395445179526</v>
      </c>
      <c r="T209">
        <f t="shared" si="25"/>
        <v>0.61373737259879468</v>
      </c>
    </row>
    <row r="210" spans="1:20" x14ac:dyDescent="0.25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20"/>
        <v>0.76963571842342327</v>
      </c>
      <c r="P210">
        <f t="shared" si="21"/>
        <v>0.68344208704834486</v>
      </c>
      <c r="Q210">
        <f t="shared" si="22"/>
        <v>1</v>
      </c>
      <c r="R210">
        <f t="shared" si="23"/>
        <v>0</v>
      </c>
      <c r="S210">
        <f t="shared" si="24"/>
        <v>0.68344208704834486</v>
      </c>
      <c r="T210">
        <f t="shared" si="25"/>
        <v>0.3806133564030279</v>
      </c>
    </row>
    <row r="211" spans="1:20" x14ac:dyDescent="0.25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20"/>
        <v>0.88144164959701943</v>
      </c>
      <c r="P211">
        <f t="shared" si="21"/>
        <v>0.70712087720918171</v>
      </c>
      <c r="Q211">
        <f t="shared" si="22"/>
        <v>1</v>
      </c>
      <c r="R211">
        <f t="shared" si="23"/>
        <v>0</v>
      </c>
      <c r="S211">
        <f t="shared" si="24"/>
        <v>0.70712087720918171</v>
      </c>
      <c r="T211">
        <f t="shared" si="25"/>
        <v>0.34655365569228308</v>
      </c>
    </row>
    <row r="212" spans="1:20" x14ac:dyDescent="0.25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20"/>
        <v>0.60524757950470875</v>
      </c>
      <c r="P212">
        <f t="shared" si="21"/>
        <v>0.64685595002472884</v>
      </c>
      <c r="Q212">
        <f t="shared" si="22"/>
        <v>1</v>
      </c>
      <c r="R212">
        <f t="shared" si="23"/>
        <v>1</v>
      </c>
      <c r="S212">
        <f t="shared" si="24"/>
        <v>0.35314404997527116</v>
      </c>
      <c r="T212">
        <f t="shared" si="25"/>
        <v>1.0408792317038835</v>
      </c>
    </row>
    <row r="213" spans="1:20" x14ac:dyDescent="0.25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20"/>
        <v>0.33779361153908161</v>
      </c>
      <c r="P213">
        <f t="shared" si="21"/>
        <v>0.58365446544004151</v>
      </c>
      <c r="Q213">
        <f t="shared" si="22"/>
        <v>1</v>
      </c>
      <c r="R213">
        <f t="shared" si="23"/>
        <v>1</v>
      </c>
      <c r="S213">
        <f t="shared" si="24"/>
        <v>0.41634553455995849</v>
      </c>
      <c r="T213">
        <f t="shared" si="25"/>
        <v>0.87623975156508127</v>
      </c>
    </row>
    <row r="214" spans="1:20" x14ac:dyDescent="0.25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20"/>
        <v>0.27682924858511715</v>
      </c>
      <c r="P214">
        <f t="shared" si="21"/>
        <v>0.56876870118371181</v>
      </c>
      <c r="Q214">
        <f t="shared" si="22"/>
        <v>1</v>
      </c>
      <c r="R214">
        <f t="shared" si="23"/>
        <v>1</v>
      </c>
      <c r="S214">
        <f t="shared" si="24"/>
        <v>0.43123129881628819</v>
      </c>
      <c r="T214">
        <f t="shared" si="25"/>
        <v>0.84111067664053862</v>
      </c>
    </row>
    <row r="215" spans="1:20" x14ac:dyDescent="0.25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20"/>
        <v>0.89362848316458576</v>
      </c>
      <c r="P215">
        <f t="shared" si="21"/>
        <v>0.70963839617595903</v>
      </c>
      <c r="Q215">
        <f t="shared" si="22"/>
        <v>1</v>
      </c>
      <c r="R215">
        <f t="shared" si="23"/>
        <v>0</v>
      </c>
      <c r="S215">
        <f t="shared" si="24"/>
        <v>0.70963839617595903</v>
      </c>
      <c r="T215">
        <f t="shared" si="25"/>
        <v>0.34299973984528542</v>
      </c>
    </row>
    <row r="216" spans="1:20" x14ac:dyDescent="0.25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20"/>
        <v>0.8363310803869648</v>
      </c>
      <c r="P216">
        <f t="shared" si="21"/>
        <v>0.69769193692853004</v>
      </c>
      <c r="Q216">
        <f t="shared" si="22"/>
        <v>1</v>
      </c>
      <c r="R216">
        <f t="shared" si="23"/>
        <v>0</v>
      </c>
      <c r="S216">
        <f t="shared" si="24"/>
        <v>0.69769193692853004</v>
      </c>
      <c r="T216">
        <f t="shared" si="25"/>
        <v>0.35997762474908801</v>
      </c>
    </row>
    <row r="217" spans="1:20" x14ac:dyDescent="0.25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20"/>
        <v>0.5399928275704422</v>
      </c>
      <c r="P217">
        <f t="shared" si="21"/>
        <v>0.63181074924460878</v>
      </c>
      <c r="Q217">
        <f t="shared" si="22"/>
        <v>1</v>
      </c>
      <c r="R217">
        <f t="shared" si="23"/>
        <v>0</v>
      </c>
      <c r="S217">
        <f t="shared" si="24"/>
        <v>0.63181074924460878</v>
      </c>
      <c r="T217">
        <f t="shared" si="25"/>
        <v>0.45916537707637495</v>
      </c>
    </row>
    <row r="218" spans="1:20" x14ac:dyDescent="0.25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20"/>
        <v>0.34941647748839277</v>
      </c>
      <c r="P218">
        <f t="shared" si="21"/>
        <v>0.58647606907996841</v>
      </c>
      <c r="Q218">
        <f t="shared" si="22"/>
        <v>1</v>
      </c>
      <c r="R218">
        <f t="shared" si="23"/>
        <v>0</v>
      </c>
      <c r="S218">
        <f t="shared" si="24"/>
        <v>0.58647606907996841</v>
      </c>
      <c r="T218">
        <f t="shared" si="25"/>
        <v>0.53362341465377439</v>
      </c>
    </row>
    <row r="219" spans="1:20" x14ac:dyDescent="0.25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20"/>
        <v>-6.9068944735209858E-2</v>
      </c>
      <c r="P219">
        <f t="shared" si="21"/>
        <v>0.48273962501644091</v>
      </c>
      <c r="Q219">
        <f t="shared" si="22"/>
        <v>0</v>
      </c>
      <c r="R219">
        <f t="shared" si="23"/>
        <v>0</v>
      </c>
      <c r="S219">
        <f t="shared" si="24"/>
        <v>0.51726037498355915</v>
      </c>
      <c r="T219">
        <f t="shared" si="25"/>
        <v>0.65920890459039472</v>
      </c>
    </row>
    <row r="223" spans="1:20" x14ac:dyDescent="0.25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32</v>
      </c>
      <c r="R223" t="s">
        <v>33</v>
      </c>
    </row>
    <row r="224" spans="1:20" x14ac:dyDescent="0.25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 t="shared" ref="O224:O287" si="26">SUMPRODUCT(A$4:M$4, A224:M224)+N$4</f>
        <v>0.33743592599502215</v>
      </c>
      <c r="P224">
        <f t="shared" ref="P224:P287" si="27">1/(1+EXP(0-O224))</f>
        <v>0.58356754456243554</v>
      </c>
      <c r="Q224">
        <f>IF(P224&lt;0.5,0,1)</f>
        <v>1</v>
      </c>
      <c r="R224">
        <f>IF(N224=Q224,0,1)</f>
        <v>1</v>
      </c>
    </row>
    <row r="225" spans="1:18" x14ac:dyDescent="0.25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si="26"/>
        <v>1.119502786634758</v>
      </c>
      <c r="P225">
        <f t="shared" si="27"/>
        <v>0.75389647682839767</v>
      </c>
      <c r="Q225">
        <f t="shared" ref="Q225:Q288" si="28">IF(P225&lt;0.5,0,1)</f>
        <v>1</v>
      </c>
      <c r="R225">
        <f t="shared" ref="R225:R288" si="29">IF(N225=Q225,0,1)</f>
        <v>0</v>
      </c>
    </row>
    <row r="226" spans="1:18" x14ac:dyDescent="0.25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6"/>
        <v>0.34466228081693395</v>
      </c>
      <c r="P226">
        <f t="shared" si="27"/>
        <v>0.58532260027387228</v>
      </c>
      <c r="Q226">
        <f t="shared" si="28"/>
        <v>1</v>
      </c>
      <c r="R226">
        <f t="shared" si="29"/>
        <v>1</v>
      </c>
    </row>
    <row r="227" spans="1:18" x14ac:dyDescent="0.25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6"/>
        <v>-3.7936391964251526E-2</v>
      </c>
      <c r="P227">
        <f t="shared" si="27"/>
        <v>0.49051703928091001</v>
      </c>
      <c r="Q227">
        <f t="shared" si="28"/>
        <v>0</v>
      </c>
      <c r="R227">
        <f t="shared" si="29"/>
        <v>0</v>
      </c>
    </row>
    <row r="228" spans="1:18" x14ac:dyDescent="0.25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6"/>
        <v>0.83172534039023294</v>
      </c>
      <c r="P228">
        <f t="shared" si="27"/>
        <v>0.69671962033671686</v>
      </c>
      <c r="Q228">
        <f t="shared" si="28"/>
        <v>1</v>
      </c>
      <c r="R228">
        <f t="shared" si="29"/>
        <v>0</v>
      </c>
    </row>
    <row r="229" spans="1:18" x14ac:dyDescent="0.25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6"/>
        <v>0.5197233902864955</v>
      </c>
      <c r="P229">
        <f t="shared" si="27"/>
        <v>0.6270830834363178</v>
      </c>
      <c r="Q229">
        <f t="shared" si="28"/>
        <v>1</v>
      </c>
      <c r="R229">
        <f t="shared" si="29"/>
        <v>1</v>
      </c>
    </row>
    <row r="230" spans="1:18" x14ac:dyDescent="0.25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6"/>
        <v>0.67955291758171299</v>
      </c>
      <c r="P230">
        <f t="shared" si="27"/>
        <v>0.66363890593728292</v>
      </c>
      <c r="Q230">
        <f t="shared" si="28"/>
        <v>1</v>
      </c>
      <c r="R230">
        <f t="shared" si="29"/>
        <v>0</v>
      </c>
    </row>
    <row r="231" spans="1:18" x14ac:dyDescent="0.25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6"/>
        <v>0.36298860785597142</v>
      </c>
      <c r="P231">
        <f t="shared" si="27"/>
        <v>0.58976369874106116</v>
      </c>
      <c r="Q231">
        <f t="shared" si="28"/>
        <v>1</v>
      </c>
      <c r="R231">
        <f t="shared" si="29"/>
        <v>1</v>
      </c>
    </row>
    <row r="232" spans="1:18" x14ac:dyDescent="0.25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6"/>
        <v>0.36053342199717897</v>
      </c>
      <c r="P232">
        <f t="shared" si="27"/>
        <v>0.58916955434649487</v>
      </c>
      <c r="Q232">
        <f t="shared" si="28"/>
        <v>1</v>
      </c>
      <c r="R232">
        <f t="shared" si="29"/>
        <v>0</v>
      </c>
    </row>
    <row r="233" spans="1:18" x14ac:dyDescent="0.25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6"/>
        <v>1.133963441479592</v>
      </c>
      <c r="P233">
        <f t="shared" si="27"/>
        <v>0.75656959629487019</v>
      </c>
      <c r="Q233">
        <f t="shared" si="28"/>
        <v>1</v>
      </c>
      <c r="R233">
        <f t="shared" si="29"/>
        <v>0</v>
      </c>
    </row>
    <row r="234" spans="1:18" x14ac:dyDescent="0.25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6"/>
        <v>0.12079643633181414</v>
      </c>
      <c r="P234">
        <f t="shared" si="27"/>
        <v>0.53016244102668708</v>
      </c>
      <c r="Q234">
        <f t="shared" si="28"/>
        <v>1</v>
      </c>
      <c r="R234">
        <f t="shared" si="29"/>
        <v>1</v>
      </c>
    </row>
    <row r="235" spans="1:18" x14ac:dyDescent="0.25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6"/>
        <v>0.29409709870404321</v>
      </c>
      <c r="P235">
        <f t="shared" si="27"/>
        <v>0.57299887334298705</v>
      </c>
      <c r="Q235">
        <f t="shared" si="28"/>
        <v>1</v>
      </c>
      <c r="R235">
        <f t="shared" si="29"/>
        <v>1</v>
      </c>
    </row>
    <row r="236" spans="1:18" x14ac:dyDescent="0.25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6"/>
        <v>0.19597499884532943</v>
      </c>
      <c r="P236">
        <f t="shared" si="27"/>
        <v>0.54883754429634046</v>
      </c>
      <c r="Q236">
        <f t="shared" si="28"/>
        <v>1</v>
      </c>
      <c r="R236">
        <f t="shared" si="29"/>
        <v>1</v>
      </c>
    </row>
    <row r="237" spans="1:18" x14ac:dyDescent="0.25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6"/>
        <v>0.84599169758070492</v>
      </c>
      <c r="P237">
        <f t="shared" si="27"/>
        <v>0.69972563417635558</v>
      </c>
      <c r="Q237">
        <f t="shared" si="28"/>
        <v>1</v>
      </c>
      <c r="R237">
        <f t="shared" si="29"/>
        <v>0</v>
      </c>
    </row>
    <row r="238" spans="1:18" x14ac:dyDescent="0.25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6"/>
        <v>0.1424096956458365</v>
      </c>
      <c r="P238">
        <f t="shared" si="27"/>
        <v>0.53554237604534594</v>
      </c>
      <c r="Q238">
        <f t="shared" si="28"/>
        <v>1</v>
      </c>
      <c r="R238">
        <f t="shared" si="29"/>
        <v>1</v>
      </c>
    </row>
    <row r="239" spans="1:18" x14ac:dyDescent="0.25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6"/>
        <v>0.62681181658478136</v>
      </c>
      <c r="P239">
        <f t="shared" si="27"/>
        <v>0.65176620027137722</v>
      </c>
      <c r="Q239">
        <f t="shared" si="28"/>
        <v>1</v>
      </c>
      <c r="R239">
        <f t="shared" si="29"/>
        <v>0</v>
      </c>
    </row>
    <row r="240" spans="1:18" x14ac:dyDescent="0.25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6"/>
        <v>0.31667416178933405</v>
      </c>
      <c r="P240">
        <f t="shared" si="27"/>
        <v>0.57851350674760915</v>
      </c>
      <c r="Q240">
        <f t="shared" si="28"/>
        <v>1</v>
      </c>
      <c r="R240">
        <f t="shared" si="29"/>
        <v>1</v>
      </c>
    </row>
    <row r="241" spans="1:18" x14ac:dyDescent="0.25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6"/>
        <v>0.40674564528383339</v>
      </c>
      <c r="P241">
        <f t="shared" si="27"/>
        <v>0.60030728953060342</v>
      </c>
      <c r="Q241">
        <f t="shared" si="28"/>
        <v>1</v>
      </c>
      <c r="R241">
        <f t="shared" si="29"/>
        <v>0</v>
      </c>
    </row>
    <row r="242" spans="1:18" x14ac:dyDescent="0.25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6"/>
        <v>0.35527244355377285</v>
      </c>
      <c r="P242">
        <f t="shared" si="27"/>
        <v>0.58789554615391981</v>
      </c>
      <c r="Q242">
        <f t="shared" si="28"/>
        <v>1</v>
      </c>
      <c r="R242">
        <f t="shared" si="29"/>
        <v>1</v>
      </c>
    </row>
    <row r="243" spans="1:18" x14ac:dyDescent="0.25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6"/>
        <v>0.41597818480165683</v>
      </c>
      <c r="P243">
        <f t="shared" si="27"/>
        <v>0.60252046540737714</v>
      </c>
      <c r="Q243">
        <f t="shared" si="28"/>
        <v>1</v>
      </c>
      <c r="R243">
        <f t="shared" si="29"/>
        <v>1</v>
      </c>
    </row>
    <row r="244" spans="1:18" x14ac:dyDescent="0.25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6"/>
        <v>-7.5443474713293157E-2</v>
      </c>
      <c r="P244">
        <f t="shared" si="27"/>
        <v>0.48114807212814215</v>
      </c>
      <c r="Q244">
        <f t="shared" si="28"/>
        <v>0</v>
      </c>
      <c r="R244">
        <f t="shared" si="29"/>
        <v>0</v>
      </c>
    </row>
    <row r="245" spans="1:18" x14ac:dyDescent="0.25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6"/>
        <v>1.1398814558331563</v>
      </c>
      <c r="P245">
        <f t="shared" si="27"/>
        <v>0.75765787348715441</v>
      </c>
      <c r="Q245">
        <f t="shared" si="28"/>
        <v>1</v>
      </c>
      <c r="R245">
        <f t="shared" si="29"/>
        <v>0</v>
      </c>
    </row>
    <row r="246" spans="1:18" x14ac:dyDescent="0.25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6"/>
        <v>0.32801684516729934</v>
      </c>
      <c r="P246">
        <f t="shared" si="27"/>
        <v>0.58127676662895744</v>
      </c>
      <c r="Q246">
        <f t="shared" si="28"/>
        <v>1</v>
      </c>
      <c r="R246">
        <f t="shared" si="29"/>
        <v>0</v>
      </c>
    </row>
    <row r="247" spans="1:18" x14ac:dyDescent="0.25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6"/>
        <v>0.16587408670245241</v>
      </c>
      <c r="P247">
        <f t="shared" si="27"/>
        <v>0.54137370141395247</v>
      </c>
      <c r="Q247">
        <f t="shared" si="28"/>
        <v>1</v>
      </c>
      <c r="R247">
        <f t="shared" si="29"/>
        <v>1</v>
      </c>
    </row>
    <row r="248" spans="1:18" x14ac:dyDescent="0.25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6"/>
        <v>0.69502670002931377</v>
      </c>
      <c r="P248">
        <f t="shared" si="27"/>
        <v>0.66708420674115976</v>
      </c>
      <c r="Q248">
        <f t="shared" si="28"/>
        <v>1</v>
      </c>
      <c r="R248">
        <f t="shared" si="29"/>
        <v>0</v>
      </c>
    </row>
    <row r="249" spans="1:18" x14ac:dyDescent="0.25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6"/>
        <v>0.16574323775344424</v>
      </c>
      <c r="P249">
        <f t="shared" si="27"/>
        <v>0.54134121298589266</v>
      </c>
      <c r="Q249">
        <f t="shared" si="28"/>
        <v>1</v>
      </c>
      <c r="R249">
        <f t="shared" si="29"/>
        <v>1</v>
      </c>
    </row>
    <row r="250" spans="1:18" x14ac:dyDescent="0.25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6"/>
        <v>1.4989840416434752E-2</v>
      </c>
      <c r="P250">
        <f t="shared" si="27"/>
        <v>0.50374738993595769</v>
      </c>
      <c r="Q250">
        <f t="shared" si="28"/>
        <v>1</v>
      </c>
      <c r="R250">
        <f t="shared" si="29"/>
        <v>1</v>
      </c>
    </row>
    <row r="251" spans="1:18" x14ac:dyDescent="0.25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6"/>
        <v>0.17469555120954894</v>
      </c>
      <c r="P251">
        <f t="shared" si="27"/>
        <v>0.5435631538090262</v>
      </c>
      <c r="Q251">
        <f t="shared" si="28"/>
        <v>1</v>
      </c>
      <c r="R251">
        <f t="shared" si="29"/>
        <v>1</v>
      </c>
    </row>
    <row r="252" spans="1:18" x14ac:dyDescent="0.25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6"/>
        <v>0.16798300833968582</v>
      </c>
      <c r="P252">
        <f t="shared" si="27"/>
        <v>0.54189727592873083</v>
      </c>
      <c r="Q252">
        <f t="shared" si="28"/>
        <v>1</v>
      </c>
      <c r="R252">
        <f t="shared" si="29"/>
        <v>1</v>
      </c>
    </row>
    <row r="253" spans="1:18" x14ac:dyDescent="0.25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6"/>
        <v>0.30475197600075443</v>
      </c>
      <c r="P253">
        <f t="shared" si="27"/>
        <v>0.57560376386674938</v>
      </c>
      <c r="Q253">
        <f t="shared" si="28"/>
        <v>1</v>
      </c>
      <c r="R253">
        <f t="shared" si="29"/>
        <v>1</v>
      </c>
    </row>
    <row r="254" spans="1:18" x14ac:dyDescent="0.25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6"/>
        <v>0.68652137087089438</v>
      </c>
      <c r="P254">
        <f t="shared" si="27"/>
        <v>0.66519264213851292</v>
      </c>
      <c r="Q254">
        <f t="shared" si="28"/>
        <v>1</v>
      </c>
      <c r="R254">
        <f t="shared" si="29"/>
        <v>0</v>
      </c>
    </row>
    <row r="255" spans="1:18" x14ac:dyDescent="0.25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6"/>
        <v>0.12213267232572256</v>
      </c>
      <c r="P255">
        <f t="shared" si="27"/>
        <v>0.53049527088999326</v>
      </c>
      <c r="Q255">
        <f t="shared" si="28"/>
        <v>1</v>
      </c>
      <c r="R255">
        <f t="shared" si="29"/>
        <v>1</v>
      </c>
    </row>
    <row r="256" spans="1:18" x14ac:dyDescent="0.25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6"/>
        <v>1.1138829277447457</v>
      </c>
      <c r="P256">
        <f t="shared" si="27"/>
        <v>0.75285230028712891</v>
      </c>
      <c r="Q256">
        <f t="shared" si="28"/>
        <v>1</v>
      </c>
      <c r="R256">
        <f t="shared" si="29"/>
        <v>0</v>
      </c>
    </row>
    <row r="257" spans="1:18" x14ac:dyDescent="0.25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6"/>
        <v>6.8849463643644804E-2</v>
      </c>
      <c r="P257">
        <f t="shared" si="27"/>
        <v>0.51720556989119459</v>
      </c>
      <c r="Q257">
        <f t="shared" si="28"/>
        <v>1</v>
      </c>
      <c r="R257">
        <f t="shared" si="29"/>
        <v>1</v>
      </c>
    </row>
    <row r="258" spans="1:18" x14ac:dyDescent="0.25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6"/>
        <v>6.9255989868709122E-2</v>
      </c>
      <c r="P258">
        <f t="shared" si="27"/>
        <v>0.5173070803914227</v>
      </c>
      <c r="Q258">
        <f t="shared" si="28"/>
        <v>1</v>
      </c>
      <c r="R258">
        <f t="shared" si="29"/>
        <v>1</v>
      </c>
    </row>
    <row r="259" spans="1:18" x14ac:dyDescent="0.25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6"/>
        <v>8.8172297045625347E-2</v>
      </c>
      <c r="P259">
        <f t="shared" si="27"/>
        <v>0.52202880446666267</v>
      </c>
      <c r="Q259">
        <f t="shared" si="28"/>
        <v>1</v>
      </c>
      <c r="R259">
        <f t="shared" si="29"/>
        <v>0</v>
      </c>
    </row>
    <row r="260" spans="1:18" x14ac:dyDescent="0.25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6"/>
        <v>0.97827725538034604</v>
      </c>
      <c r="P260">
        <f t="shared" si="27"/>
        <v>0.72676625244410253</v>
      </c>
      <c r="Q260">
        <f t="shared" si="28"/>
        <v>1</v>
      </c>
      <c r="R260">
        <f t="shared" si="29"/>
        <v>0</v>
      </c>
    </row>
    <row r="261" spans="1:18" x14ac:dyDescent="0.25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6"/>
        <v>1.0194067624851391</v>
      </c>
      <c r="P261">
        <f t="shared" si="27"/>
        <v>0.73485702788348506</v>
      </c>
      <c r="Q261">
        <f t="shared" si="28"/>
        <v>1</v>
      </c>
      <c r="R261">
        <f t="shared" si="29"/>
        <v>0</v>
      </c>
    </row>
    <row r="262" spans="1:18" x14ac:dyDescent="0.25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6"/>
        <v>0.74357426800237625</v>
      </c>
      <c r="P262">
        <f t="shared" si="27"/>
        <v>0.67777695526113912</v>
      </c>
      <c r="Q262">
        <f t="shared" si="28"/>
        <v>1</v>
      </c>
      <c r="R262">
        <f t="shared" si="29"/>
        <v>0</v>
      </c>
    </row>
    <row r="263" spans="1:18" x14ac:dyDescent="0.25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6"/>
        <v>1.0758221741111327</v>
      </c>
      <c r="P263">
        <f t="shared" si="27"/>
        <v>0.74570255470524727</v>
      </c>
      <c r="Q263">
        <f t="shared" si="28"/>
        <v>1</v>
      </c>
      <c r="R263">
        <f t="shared" si="29"/>
        <v>0</v>
      </c>
    </row>
    <row r="264" spans="1:18" x14ac:dyDescent="0.25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6"/>
        <v>0.81419846576592669</v>
      </c>
      <c r="P264">
        <f t="shared" si="27"/>
        <v>0.69300344956864446</v>
      </c>
      <c r="Q264">
        <f t="shared" si="28"/>
        <v>1</v>
      </c>
      <c r="R264">
        <f t="shared" si="29"/>
        <v>1</v>
      </c>
    </row>
    <row r="265" spans="1:18" x14ac:dyDescent="0.25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6"/>
        <v>0.21156700731460809</v>
      </c>
      <c r="P265">
        <f t="shared" si="27"/>
        <v>0.55269534205108262</v>
      </c>
      <c r="Q265">
        <f t="shared" si="28"/>
        <v>1</v>
      </c>
      <c r="R265">
        <f t="shared" si="29"/>
        <v>0</v>
      </c>
    </row>
    <row r="266" spans="1:18" x14ac:dyDescent="0.25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6"/>
        <v>0.16929704180183847</v>
      </c>
      <c r="P266">
        <f t="shared" si="27"/>
        <v>0.54222345965914498</v>
      </c>
      <c r="Q266">
        <f t="shared" si="28"/>
        <v>1</v>
      </c>
      <c r="R266">
        <f t="shared" si="29"/>
        <v>1</v>
      </c>
    </row>
    <row r="267" spans="1:18" x14ac:dyDescent="0.25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6"/>
        <v>0.3522258143524768</v>
      </c>
      <c r="P267">
        <f t="shared" si="27"/>
        <v>0.5871572288351955</v>
      </c>
      <c r="Q267">
        <f t="shared" si="28"/>
        <v>1</v>
      </c>
      <c r="R267">
        <f t="shared" si="29"/>
        <v>1</v>
      </c>
    </row>
    <row r="268" spans="1:18" x14ac:dyDescent="0.25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6"/>
        <v>1.0140626332290348</v>
      </c>
      <c r="P268">
        <f t="shared" si="27"/>
        <v>0.73381446005579831</v>
      </c>
      <c r="Q268">
        <f t="shared" si="28"/>
        <v>1</v>
      </c>
      <c r="R268">
        <f t="shared" si="29"/>
        <v>0</v>
      </c>
    </row>
    <row r="269" spans="1:18" x14ac:dyDescent="0.25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6"/>
        <v>0.47949111732023098</v>
      </c>
      <c r="P269">
        <f t="shared" si="27"/>
        <v>0.61762770233665631</v>
      </c>
      <c r="Q269">
        <f t="shared" si="28"/>
        <v>1</v>
      </c>
      <c r="R269">
        <f t="shared" si="29"/>
        <v>0</v>
      </c>
    </row>
    <row r="270" spans="1:18" x14ac:dyDescent="0.25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6"/>
        <v>1.3750667292480707</v>
      </c>
      <c r="P270">
        <f t="shared" si="27"/>
        <v>0.79819752658301435</v>
      </c>
      <c r="Q270">
        <f t="shared" si="28"/>
        <v>1</v>
      </c>
      <c r="R270">
        <f t="shared" si="29"/>
        <v>0</v>
      </c>
    </row>
    <row r="271" spans="1:18" x14ac:dyDescent="0.25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6"/>
        <v>0.81270381511705891</v>
      </c>
      <c r="P271">
        <f t="shared" si="27"/>
        <v>0.69268537144099118</v>
      </c>
      <c r="Q271">
        <f t="shared" si="28"/>
        <v>1</v>
      </c>
      <c r="R271">
        <f t="shared" si="29"/>
        <v>0</v>
      </c>
    </row>
    <row r="272" spans="1:18" x14ac:dyDescent="0.25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6"/>
        <v>0.25473680424695933</v>
      </c>
      <c r="P272">
        <f t="shared" si="27"/>
        <v>0.56334204440148195</v>
      </c>
      <c r="Q272">
        <f t="shared" si="28"/>
        <v>1</v>
      </c>
      <c r="R272">
        <f t="shared" si="29"/>
        <v>1</v>
      </c>
    </row>
    <row r="273" spans="1:18" x14ac:dyDescent="0.25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6"/>
        <v>0.10671166503067431</v>
      </c>
      <c r="P273">
        <f t="shared" si="27"/>
        <v>0.52665262908978105</v>
      </c>
      <c r="Q273">
        <f t="shared" si="28"/>
        <v>1</v>
      </c>
      <c r="R273">
        <f t="shared" si="29"/>
        <v>1</v>
      </c>
    </row>
    <row r="274" spans="1:18" x14ac:dyDescent="0.25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6"/>
        <v>0.38320173486024567</v>
      </c>
      <c r="P274">
        <f t="shared" si="27"/>
        <v>0.59464508976572716</v>
      </c>
      <c r="Q274">
        <f t="shared" si="28"/>
        <v>1</v>
      </c>
      <c r="R274">
        <f t="shared" si="29"/>
        <v>1</v>
      </c>
    </row>
    <row r="275" spans="1:18" x14ac:dyDescent="0.25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6"/>
        <v>1.1615724548006281</v>
      </c>
      <c r="P275">
        <f t="shared" si="27"/>
        <v>0.761618320652106</v>
      </c>
      <c r="Q275">
        <f t="shared" si="28"/>
        <v>1</v>
      </c>
      <c r="R275">
        <f t="shared" si="29"/>
        <v>0</v>
      </c>
    </row>
    <row r="276" spans="1:18" x14ac:dyDescent="0.25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6"/>
        <v>0.83193258721660857</v>
      </c>
      <c r="P276">
        <f t="shared" si="27"/>
        <v>0.69676341009396103</v>
      </c>
      <c r="Q276">
        <f t="shared" si="28"/>
        <v>1</v>
      </c>
      <c r="R276">
        <f t="shared" si="29"/>
        <v>0</v>
      </c>
    </row>
    <row r="277" spans="1:18" x14ac:dyDescent="0.25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6"/>
        <v>0.41485611054171456</v>
      </c>
      <c r="P277">
        <f t="shared" si="27"/>
        <v>0.60225170945481743</v>
      </c>
      <c r="Q277">
        <f t="shared" si="28"/>
        <v>1</v>
      </c>
      <c r="R277">
        <f t="shared" si="29"/>
        <v>0</v>
      </c>
    </row>
    <row r="278" spans="1:18" x14ac:dyDescent="0.25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6"/>
        <v>0.38152652949786825</v>
      </c>
      <c r="P278">
        <f t="shared" si="27"/>
        <v>0.59424123046307831</v>
      </c>
      <c r="Q278">
        <f t="shared" si="28"/>
        <v>1</v>
      </c>
      <c r="R278">
        <f t="shared" si="29"/>
        <v>0</v>
      </c>
    </row>
    <row r="279" spans="1:18" x14ac:dyDescent="0.25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6"/>
        <v>0.40678341212888713</v>
      </c>
      <c r="P279">
        <f t="shared" si="27"/>
        <v>0.60031635121444937</v>
      </c>
      <c r="Q279">
        <f t="shared" si="28"/>
        <v>1</v>
      </c>
      <c r="R279">
        <f t="shared" si="29"/>
        <v>1</v>
      </c>
    </row>
    <row r="280" spans="1:18" x14ac:dyDescent="0.25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6"/>
        <v>0.66432605969987546</v>
      </c>
      <c r="P280">
        <f t="shared" si="27"/>
        <v>0.66023150716862644</v>
      </c>
      <c r="Q280">
        <f t="shared" si="28"/>
        <v>1</v>
      </c>
      <c r="R280">
        <f t="shared" si="29"/>
        <v>1</v>
      </c>
    </row>
    <row r="281" spans="1:18" x14ac:dyDescent="0.25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6"/>
        <v>0.10940357638632991</v>
      </c>
      <c r="P281">
        <f t="shared" si="27"/>
        <v>0.52732364614710536</v>
      </c>
      <c r="Q281">
        <f t="shared" si="28"/>
        <v>1</v>
      </c>
      <c r="R281">
        <f t="shared" si="29"/>
        <v>1</v>
      </c>
    </row>
    <row r="282" spans="1:18" x14ac:dyDescent="0.25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6"/>
        <v>1.1751768298673357</v>
      </c>
      <c r="P282">
        <f t="shared" si="27"/>
        <v>0.76407947699677736</v>
      </c>
      <c r="Q282">
        <f t="shared" si="28"/>
        <v>1</v>
      </c>
      <c r="R282">
        <f t="shared" si="29"/>
        <v>0</v>
      </c>
    </row>
    <row r="283" spans="1:18" x14ac:dyDescent="0.25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6"/>
        <v>0.52181841341896162</v>
      </c>
      <c r="P283">
        <f t="shared" si="27"/>
        <v>0.62757287378328497</v>
      </c>
      <c r="Q283">
        <f t="shared" si="28"/>
        <v>1</v>
      </c>
      <c r="R283">
        <f t="shared" si="29"/>
        <v>0</v>
      </c>
    </row>
    <row r="284" spans="1:18" x14ac:dyDescent="0.25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6"/>
        <v>-3.5214446274251521E-3</v>
      </c>
      <c r="P284">
        <f t="shared" si="27"/>
        <v>0.49911963975289109</v>
      </c>
      <c r="Q284">
        <f t="shared" si="28"/>
        <v>0</v>
      </c>
      <c r="R284">
        <f t="shared" si="29"/>
        <v>0</v>
      </c>
    </row>
    <row r="285" spans="1:18" x14ac:dyDescent="0.25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6"/>
        <v>0.10362852871604344</v>
      </c>
      <c r="P285">
        <f t="shared" si="27"/>
        <v>0.52588397260151498</v>
      </c>
      <c r="Q285">
        <f t="shared" si="28"/>
        <v>1</v>
      </c>
      <c r="R285">
        <f t="shared" si="29"/>
        <v>1</v>
      </c>
    </row>
    <row r="286" spans="1:18" x14ac:dyDescent="0.25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6"/>
        <v>6.4138276427103624E-2</v>
      </c>
      <c r="P286">
        <f t="shared" si="27"/>
        <v>0.51602907455843217</v>
      </c>
      <c r="Q286">
        <f t="shared" si="28"/>
        <v>1</v>
      </c>
      <c r="R286">
        <f t="shared" si="29"/>
        <v>1</v>
      </c>
    </row>
    <row r="287" spans="1:18" x14ac:dyDescent="0.25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6"/>
        <v>0.5192465094769807</v>
      </c>
      <c r="P287">
        <f t="shared" si="27"/>
        <v>0.62697155815480832</v>
      </c>
      <c r="Q287">
        <f t="shared" si="28"/>
        <v>1</v>
      </c>
      <c r="R287">
        <f t="shared" si="29"/>
        <v>0</v>
      </c>
    </row>
    <row r="288" spans="1:18" x14ac:dyDescent="0.25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ref="O288:O306" si="30">SUMPRODUCT(A$4:M$4, A288:M288)+N$4</f>
        <v>0.73304805492776581</v>
      </c>
      <c r="P288">
        <f t="shared" ref="P288:P306" si="31">1/(1+EXP(0-O288))</f>
        <v>0.67547379054077361</v>
      </c>
      <c r="Q288">
        <f t="shared" si="28"/>
        <v>1</v>
      </c>
      <c r="R288">
        <f t="shared" si="29"/>
        <v>0</v>
      </c>
    </row>
    <row r="289" spans="1:18" x14ac:dyDescent="0.25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si="30"/>
        <v>2.0110695632212183E-2</v>
      </c>
      <c r="P289">
        <f t="shared" si="31"/>
        <v>0.50502750446550326</v>
      </c>
      <c r="Q289">
        <f t="shared" ref="Q289:Q306" si="32">IF(P289&lt;0.5,0,1)</f>
        <v>1</v>
      </c>
      <c r="R289">
        <f t="shared" ref="R289:R306" si="33">IF(N289=Q289,0,1)</f>
        <v>1</v>
      </c>
    </row>
    <row r="290" spans="1:18" x14ac:dyDescent="0.25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30"/>
        <v>0.91001655659566771</v>
      </c>
      <c r="P290">
        <f t="shared" si="31"/>
        <v>0.7130035507319139</v>
      </c>
      <c r="Q290">
        <f t="shared" si="32"/>
        <v>1</v>
      </c>
      <c r="R290">
        <f t="shared" si="33"/>
        <v>0</v>
      </c>
    </row>
    <row r="291" spans="1:18" x14ac:dyDescent="0.25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30"/>
        <v>5.5294995951034098E-2</v>
      </c>
      <c r="P291">
        <f t="shared" si="31"/>
        <v>0.5138202278461762</v>
      </c>
      <c r="Q291">
        <f t="shared" si="32"/>
        <v>1</v>
      </c>
      <c r="R291">
        <f t="shared" si="33"/>
        <v>1</v>
      </c>
    </row>
    <row r="292" spans="1:18" x14ac:dyDescent="0.25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30"/>
        <v>0.4007997490640034</v>
      </c>
      <c r="P292">
        <f t="shared" si="31"/>
        <v>0.59887979324455753</v>
      </c>
      <c r="Q292">
        <f t="shared" si="32"/>
        <v>1</v>
      </c>
      <c r="R292">
        <f t="shared" si="33"/>
        <v>1</v>
      </c>
    </row>
    <row r="293" spans="1:18" x14ac:dyDescent="0.25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30"/>
        <v>0.14283983542504397</v>
      </c>
      <c r="P293">
        <f t="shared" si="31"/>
        <v>0.53564936597422552</v>
      </c>
      <c r="Q293">
        <f t="shared" si="32"/>
        <v>1</v>
      </c>
      <c r="R293">
        <f t="shared" si="33"/>
        <v>1</v>
      </c>
    </row>
    <row r="294" spans="1:18" x14ac:dyDescent="0.25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30"/>
        <v>0.26352461894523427</v>
      </c>
      <c r="P294">
        <f t="shared" si="31"/>
        <v>0.56550252296923709</v>
      </c>
      <c r="Q294">
        <f t="shared" si="32"/>
        <v>1</v>
      </c>
      <c r="R294">
        <f t="shared" si="33"/>
        <v>0</v>
      </c>
    </row>
    <row r="295" spans="1:18" x14ac:dyDescent="0.25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30"/>
        <v>0.26422110131831467</v>
      </c>
      <c r="P295">
        <f t="shared" si="31"/>
        <v>0.56567364743496085</v>
      </c>
      <c r="Q295">
        <f t="shared" si="32"/>
        <v>1</v>
      </c>
      <c r="R295">
        <f t="shared" si="33"/>
        <v>1</v>
      </c>
    </row>
    <row r="296" spans="1:18" x14ac:dyDescent="0.25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30"/>
        <v>7.317111809383875E-2</v>
      </c>
      <c r="P296">
        <f t="shared" si="31"/>
        <v>0.51828462224329563</v>
      </c>
      <c r="Q296">
        <f t="shared" si="32"/>
        <v>1</v>
      </c>
      <c r="R296">
        <f t="shared" si="33"/>
        <v>1</v>
      </c>
    </row>
    <row r="297" spans="1:18" x14ac:dyDescent="0.25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30"/>
        <v>1.1539718870365736</v>
      </c>
      <c r="P297">
        <f t="shared" si="31"/>
        <v>0.76023565036713436</v>
      </c>
      <c r="Q297">
        <f t="shared" si="32"/>
        <v>1</v>
      </c>
      <c r="R297">
        <f t="shared" si="33"/>
        <v>0</v>
      </c>
    </row>
    <row r="298" spans="1:18" x14ac:dyDescent="0.25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30"/>
        <v>0.23950622269137622</v>
      </c>
      <c r="P298">
        <f t="shared" si="31"/>
        <v>0.55959196202611117</v>
      </c>
      <c r="Q298">
        <f t="shared" si="32"/>
        <v>1</v>
      </c>
      <c r="R298">
        <f t="shared" si="33"/>
        <v>0</v>
      </c>
    </row>
    <row r="299" spans="1:18" x14ac:dyDescent="0.25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30"/>
        <v>0.36181555696668943</v>
      </c>
      <c r="P299">
        <f t="shared" si="31"/>
        <v>0.5894798580464975</v>
      </c>
      <c r="Q299">
        <f t="shared" si="32"/>
        <v>1</v>
      </c>
      <c r="R299">
        <f t="shared" si="33"/>
        <v>1</v>
      </c>
    </row>
    <row r="300" spans="1:18" x14ac:dyDescent="0.25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30"/>
        <v>0.25151423252524596</v>
      </c>
      <c r="P300">
        <f t="shared" si="31"/>
        <v>0.56254916996156901</v>
      </c>
      <c r="Q300">
        <f t="shared" si="32"/>
        <v>1</v>
      </c>
      <c r="R300">
        <f t="shared" si="33"/>
        <v>0</v>
      </c>
    </row>
    <row r="301" spans="1:18" x14ac:dyDescent="0.25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30"/>
        <v>7.0507621006136223E-2</v>
      </c>
      <c r="P301">
        <f t="shared" si="31"/>
        <v>0.51761960645764249</v>
      </c>
      <c r="Q301">
        <f t="shared" si="32"/>
        <v>1</v>
      </c>
      <c r="R301">
        <f t="shared" si="33"/>
        <v>1</v>
      </c>
    </row>
    <row r="302" spans="1:18" x14ac:dyDescent="0.25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30"/>
        <v>-3.2862218685668854E-2</v>
      </c>
      <c r="P302">
        <f t="shared" si="31"/>
        <v>0.49178518459760595</v>
      </c>
      <c r="Q302">
        <f t="shared" si="32"/>
        <v>0</v>
      </c>
      <c r="R302">
        <f t="shared" si="33"/>
        <v>0</v>
      </c>
    </row>
    <row r="303" spans="1:18" x14ac:dyDescent="0.25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30"/>
        <v>0.24983165391885431</v>
      </c>
      <c r="P303">
        <f t="shared" si="31"/>
        <v>0.56213506474391162</v>
      </c>
      <c r="Q303">
        <f t="shared" si="32"/>
        <v>1</v>
      </c>
      <c r="R303">
        <f t="shared" si="33"/>
        <v>1</v>
      </c>
    </row>
    <row r="304" spans="1:18" x14ac:dyDescent="0.25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30"/>
        <v>0.13269377837096763</v>
      </c>
      <c r="P304">
        <f t="shared" si="31"/>
        <v>0.53312485464381354</v>
      </c>
      <c r="Q304">
        <f t="shared" si="32"/>
        <v>1</v>
      </c>
      <c r="R304">
        <f t="shared" si="33"/>
        <v>1</v>
      </c>
    </row>
    <row r="305" spans="1:18" x14ac:dyDescent="0.25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30"/>
        <v>1.0847883625245487</v>
      </c>
      <c r="P305">
        <f t="shared" si="31"/>
        <v>0.74739906648983179</v>
      </c>
      <c r="Q305">
        <f t="shared" si="32"/>
        <v>1</v>
      </c>
      <c r="R305">
        <f t="shared" si="33"/>
        <v>0</v>
      </c>
    </row>
    <row r="306" spans="1:18" x14ac:dyDescent="0.25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30"/>
        <v>0.27907174453296912</v>
      </c>
      <c r="P306">
        <f t="shared" si="31"/>
        <v>0.56931863506854807</v>
      </c>
      <c r="Q306">
        <f t="shared" si="32"/>
        <v>1</v>
      </c>
      <c r="R306">
        <f t="shared" si="33"/>
        <v>0</v>
      </c>
    </row>
  </sheetData>
  <mergeCells count="1">
    <mergeCell ref="A223:M2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LR-log-likelihoods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2025-11-23T12:07:30Z</dcterms:modified>
</cp:coreProperties>
</file>